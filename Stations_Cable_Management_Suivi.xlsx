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tock &amp; Approvisionnement" sheetId="1" state="visible" r:id="rId3"/>
    <sheet name="Planning - Calendrier" sheetId="2" state="visible" r:id="rId4"/>
    <sheet name="Dashboard" sheetId="3" state="visible" r:id="rId5"/>
    <sheet name="Progression" sheetId="4" state="visible" r:id="rId6"/>
    <sheet name="Temps" sheetId="5" state="visible" r:id="rId7"/>
    <sheet name="Single 1" sheetId="6" state="visible" r:id="rId8"/>
    <sheet name="Single 2" sheetId="7" state="visible" r:id="rId9"/>
    <sheet name="PCNS" sheetId="8" state="visible" r:id="rId10"/>
    <sheet name="KO" sheetId="9" state="visible" r:id="rId11"/>
    <sheet name="P2R" sheetId="10" state="visible" r:id="rId12"/>
  </sheets>
  <definedNames>
    <definedName function="false" hidden="false" name="TotalStations" vbProcedure="false">'Planning - Calendrier'!$B$27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<sst xmlns="http://schemas.openxmlformats.org/spreadsheetml/2006/main" count="1233" uniqueCount="363">
  <si>
    <t xml:space="preserve">Stock &amp; Approvisionnement - Stations Cable Management</t>
  </si>
  <si>
    <t xml:space="preserve">Équipement</t>
  </si>
  <si>
    <t xml:space="preserve">Type</t>
  </si>
  <si>
    <t xml:space="preserve">Stock initial
disponible</t>
  </si>
  <si>
    <t xml:space="preserve">Besoin théorique
max</t>
  </si>
  <si>
    <t xml:space="preserve">Consommé
à date</t>
  </si>
  <si>
    <t xml:space="preserve">HS</t>
  </si>
  <si>
    <t xml:space="preserve">Stock
restant</t>
  </si>
  <si>
    <t xml:space="preserve">Seuil
d'alerte</t>
  </si>
  <si>
    <t xml:space="preserve">À commander ?</t>
  </si>
  <si>
    <t xml:space="preserve">Quantité
commandée</t>
  </si>
  <si>
    <t xml:space="preserve">Reçu ?</t>
  </si>
  <si>
    <t xml:space="preserve">EXEMPLE - TC 630/640 → 655</t>
  </si>
  <si>
    <t xml:space="preserve">Équipement principal</t>
  </si>
  <si>
    <t xml:space="preserve">Non</t>
  </si>
  <si>
    <t xml:space="preserve">TC 630/640 → 655</t>
  </si>
  <si>
    <t xml:space="preserve">Imprimante ZT 411/410</t>
  </si>
  <si>
    <t xml:space="preserve">Imprimante ZD 621 T</t>
  </si>
  <si>
    <t xml:space="preserve">Imprimante ZD 621</t>
  </si>
  <si>
    <t xml:space="preserve">Genovation</t>
  </si>
  <si>
    <t xml:space="preserve">n/a</t>
  </si>
  <si>
    <t xml:space="preserve">Clavier</t>
  </si>
  <si>
    <t xml:space="preserve">NFC Connect</t>
  </si>
  <si>
    <t xml:space="preserve">Support 2D</t>
  </si>
  <si>
    <t xml:space="preserve">Consommable</t>
  </si>
  <si>
    <t xml:space="preserve">Rondelle plate</t>
  </si>
  <si>
    <t xml:space="preserve">Autocollant</t>
  </si>
  <si>
    <t xml:space="preserve">Protection scanner central</t>
  </si>
  <si>
    <t xml:space="preserve">Secure IT</t>
  </si>
  <si>
    <t xml:space="preserve">Câbles</t>
  </si>
  <si>
    <t xml:space="preserve">Rallonges</t>
  </si>
  <si>
    <t xml:space="preserve">Extension rallonge</t>
  </si>
  <si>
    <t xml:space="preserve">Colson</t>
  </si>
  <si>
    <t xml:space="preserve">Serre-câbles réutilisables</t>
  </si>
  <si>
    <t xml:space="preserve">Clips câbles autocollants</t>
  </si>
  <si>
    <t xml:space="preserve">Note : ZD 620 (3), GX 420d (8) et GX 430t (1) sont des modeles distincts, fonctionnels, presents en petite quantite sur quelques process (Pack single, PCNS, P2R, Problem Solve) -- ils ne sont pas suivis ici car aucun remplacement n'est prevu (remplacement uniquement si usure.</t>
  </si>
  <si>
    <t xml:space="preserve">Note : les plafonds "Besoin theorique max" (TC655 139 / ZT 16 / ZD621 167) sont saisis a la main, car ils dependent de quel equipement chaque process/sous-type utilise reellement (audit terrain §1b/§2c), une donnee plus fine que le simple total de stations. Si la liste des process change (onglet Planning), revalider ces 3 plafonds a la main par rapport a l'audit avant de commander.</t>
  </si>
  <si>
    <t xml:space="preserve">Répartition équipement principal par process (audit terrain) — référence, ne se met pas à jour automatiquement</t>
  </si>
  <si>
    <t xml:space="preserve">Process</t>
  </si>
  <si>
    <t xml:space="preserve">TC</t>
  </si>
  <si>
    <t xml:space="preserve">ZT (411/410)</t>
  </si>
  <si>
    <t xml:space="preserve">ZD / GX</t>
  </si>
  <si>
    <t xml:space="preserve">Single 1, Single 2</t>
  </si>
  <si>
    <t xml:space="preserve">TC630 (19) + TC655 (33)</t>
  </si>
  <si>
    <t xml:space="preserve">—</t>
  </si>
  <si>
    <t xml:space="preserve">ZD621 (46) + GX420d (6)</t>
  </si>
  <si>
    <t xml:space="preserve">PCNS 1, PCNS 2</t>
  </si>
  <si>
    <t xml:space="preserve">TC630 (4) + TC640 (1) + TC655 (11)</t>
  </si>
  <si>
    <t xml:space="preserve">corrigé : ZT utilisée (détail par poste à saisir)</t>
  </si>
  <si>
    <t xml:space="preserve">ZD621 (13) + ZD620 (2) + GX420d (1)</t>
  </si>
  <si>
    <t xml:space="preserve">KO</t>
  </si>
  <si>
    <t xml:space="preserve">TC640 (1) + TC655 (3)</t>
  </si>
  <si>
    <t xml:space="preserve">ZT411 (3) + ZT410 (1)</t>
  </si>
  <si>
    <t xml:space="preserve">P2R</t>
  </si>
  <si>
    <t xml:space="preserve">TC655 (60)</t>
  </si>
  <si>
    <t xml:space="preserve">ZD621 (58) + GX420d (1) + ZD620 (1)</t>
  </si>
  <si>
    <t xml:space="preserve">Note : le tableau ci-dessus provient de l'audit terrain d'origine. Correction actée pour PCNS : contrairement à la mention « — » sur ZT, PCNS utilise bien 2 types d'imprimante (ZD et ZT) — cf. onglet PCNS, colonne «Imprimante ZT».</t>
  </si>
  <si>
    <t xml:space="preserve">Planning - Calendrier - Stations Cable Management</t>
  </si>
  <si>
    <t xml:space="preserve">Date de démarrage :</t>
  </si>
  <si>
    <t xml:space="preserve">Modifiable</t>
  </si>
  <si>
    <t xml:space="preserve">Shutdown (Journée entière) :</t>
  </si>
  <si>
    <t xml:space="preserve">Ajout possible</t>
  </si>
  <si>
    <t xml:space="preserve">Cadence retenue (décision) :</t>
  </si>
  <si>
    <t xml:space="preserve">2 stations/jour</t>
  </si>
  <si>
    <t xml:space="preserve">Tableau de référence — process (ordre de traitement retenu, de haut en bas)</t>
  </si>
  <si>
    <t xml:space="preserve">Nb stations</t>
  </si>
  <si>
    <t xml:space="preserve">Temps/station (min)</t>
  </si>
  <si>
    <t xml:space="preserve">Cumul fin (aide)</t>
  </si>
  <si>
    <t xml:space="preserve">Rang (aide)</t>
  </si>
  <si>
    <t xml:space="preserve">Single 1</t>
  </si>
  <si>
    <t xml:space="preserve">Single 2</t>
  </si>
  <si>
    <t xml:space="preserve">PCNS 1</t>
  </si>
  <si>
    <t xml:space="preserve">PCNS 2</t>
  </si>
  <si>
    <t xml:space="preserve">Jackpot</t>
  </si>
  <si>
    <t xml:space="preserve">VRET</t>
  </si>
  <si>
    <t xml:space="preserve">GiftWrap</t>
  </si>
  <si>
    <t xml:space="preserve">Problem Solve</t>
  </si>
  <si>
    <t xml:space="preserve">Shipping</t>
  </si>
  <si>
    <t xml:space="preserve">XLI4 Receive 3</t>
  </si>
  <si>
    <t xml:space="preserve">XLI4 Receive 1</t>
  </si>
  <si>
    <t xml:space="preserve">XLI4 Receive 2</t>
  </si>
  <si>
    <t xml:space="preserve">XLI4 Sort 1</t>
  </si>
  <si>
    <t xml:space="preserve">XLI4 Sort 2</t>
  </si>
  <si>
    <t xml:space="preserve">Total stations (calcul automatique) :</t>
  </si>
  <si>
    <t xml:space="preserve">Ordre retenu : Single 1 → Single 2 → PCNS 1 → PCNS 2 → KO → P2R → Jackpot → VRET → GiftWrap → Problem Solve → Shipping → XLI4 Receive 3 → XLI4 Receive 1 → XLI4 Receive 2 → XLI4 Sort 1 → XLI4 Sort 2 (ordre du tableau ci-dessus, de haut en bas).</t>
  </si>
  <si>
    <t xml:space="preserve">Ajout d'un process : remplissez la prochaine ligne vide du tableau ci-dessus (Process / Nb stations / Temps par station). Retrait d'un process : videz ces 3 cellules sur sa ligne, même au milieu de la liste (la colonne "Rang" gère les trous). Dans les deux cas, le "Total stations", les 3 tableaux ci-dessous (comparatif, détail par process, résumé) et le moteur journalier caché se recalculent automatiquement, sans toucher à aucune formule.</t>
  </si>
  <si>
    <t xml:space="preserve">Tableau 1 - Comparatif des 3 cadences (calcul automatique)</t>
  </si>
  <si>
    <t xml:space="preserve">Cadence</t>
  </si>
  <si>
    <t xml:space="preserve">Rythme</t>
  </si>
  <si>
    <t xml:space="preserve">Durée totale (jours ouvrés)</t>
  </si>
  <si>
    <t xml:space="preserve">Durée totale (≈ mois)</t>
  </si>
  <si>
    <t xml:space="preserve">Projet fini le</t>
  </si>
  <si>
    <t xml:space="preserve">1 station/jour</t>
  </si>
  <si>
    <t xml:space="preserve">1/jour (normal)</t>
  </si>
  <si>
    <t xml:space="preserve">2/jour (normal)</t>
  </si>
  <si>
    <t xml:space="preserve">Plein temps (7h/jour dédiées)</t>
  </si>
  <si>
    <t xml:space="preserve">Variable (⌊420÷t⌋)</t>
  </si>
  <si>
    <t xml:space="preserve">Tableau 2 - Détail par process - dates par cadence</t>
  </si>
  <si>
    <t xml:space="preserve">Terminé le (1 station/jour)</t>
  </si>
  <si>
    <t xml:space="preserve">Terminé le (2 stations/jour)</t>
  </si>
  <si>
    <t xml:space="preserve">Terminé le (Plein temps 7h/jour)</t>
  </si>
  <si>
    <t xml:space="preserve">Tableau 3 - Résumé charge de travail</t>
  </si>
  <si>
    <t xml:space="preserve">Indicateur</t>
  </si>
  <si>
    <t xml:space="preserve">Valeur</t>
  </si>
  <si>
    <t xml:space="preserve">Total stations (calcul automatique)</t>
  </si>
  <si>
    <t xml:space="preserve">Temps total (min)</t>
  </si>
  <si>
    <t xml:space="preserve">Temps total (h)</t>
  </si>
  <si>
    <t xml:space="preserve">Équivalent jours à 7h/jour (repère "Plein temps")</t>
  </si>
  <si>
    <t xml:space="preserve">Équivalent jours à 8h/jour (repère)</t>
  </si>
  <si>
    <t xml:space="preserve">Effectif sur le projet</t>
  </si>
  <si>
    <t xml:space="preserve">2 personnes</t>
  </si>
  <si>
    <t xml:space="preserve">Date</t>
  </si>
  <si>
    <t xml:space="preserve">Type de jour</t>
  </si>
  <si>
    <t xml:space="preserve">Cumul avant
(1/jour)</t>
  </si>
  <si>
    <t xml:space="preserve">Process en cours
(1/jour)</t>
  </si>
  <si>
    <t xml:space="preserve">Temps/station
(1/jour)</t>
  </si>
  <si>
    <t xml:space="preserve">Stations prévues
(1/jour)</t>
  </si>
  <si>
    <t xml:space="preserve">Cumul après
(1/jour)</t>
  </si>
  <si>
    <t xml:space="preserve">Cumul avant
(2/jour)</t>
  </si>
  <si>
    <t xml:space="preserve">Process en cours
(2/jour)</t>
  </si>
  <si>
    <t xml:space="preserve">Temps/station
(2/jour)</t>
  </si>
  <si>
    <t xml:space="preserve">Stations prévues
(2/jour)</t>
  </si>
  <si>
    <t xml:space="preserve">Cumul après
(2/jour)</t>
  </si>
  <si>
    <t xml:space="preserve">Cumul avant
(Plein temps)</t>
  </si>
  <si>
    <t xml:space="preserve">Process en cours
(Plein temps)</t>
  </si>
  <si>
    <t xml:space="preserve">Temps/station
(Plein temps)</t>
  </si>
  <si>
    <t xml:space="preserve">Stations prévues
(Plein temps)</t>
  </si>
  <si>
    <t xml:space="preserve">Cumul après
(Plein temps)</t>
  </si>
  <si>
    <t xml:space="preserve">TABLEAU DE BORD — SUIVI DES STATIONS</t>
  </si>
  <si>
    <t xml:space="preserve">Périmètre suivi en détail : Single 1, Single 2, PCNS 1, PCNS 2, KO, P2R  —  132 stations sur 199 au total (voir onglet "Planning - Calendrier" pour le reste du projet).</t>
  </si>
  <si>
    <t xml:space="preserve">1.  VUE D'ENSEMBLE — TOUS PROCESS SUIVIS CONFONDUS</t>
  </si>
  <si>
    <t xml:space="preserve">Total stations</t>
  </si>
  <si>
    <t xml:space="preserve">Fait</t>
  </si>
  <si>
    <t xml:space="preserve">En cours</t>
  </si>
  <si>
    <t xml:space="preserve">À faire</t>
  </si>
  <si>
    <t xml:space="preserve">% avancement</t>
  </si>
  <si>
    <t xml:space="preserve">Temps restant (h)</t>
  </si>
  <si>
    <t xml:space="preserve">2.  AVANCEMENT PAR PROCESS</t>
  </si>
  <si>
    <t xml:space="preserve">Total</t>
  </si>
  <si>
    <t xml:space="preserve">Temps restant (min)</t>
  </si>
  <si>
    <t xml:space="preserve">TOTAL</t>
  </si>
  <si>
    <t xml:space="preserve">3.  REMPLACEMENT TC — OBJECTIF T655</t>
  </si>
  <si>
    <t xml:space="preserve">Statut</t>
  </si>
  <si>
    <t xml:space="preserve">Compte</t>
  </si>
  <si>
    <t xml:space="preserve">% du total suivi</t>
  </si>
  <si>
    <t xml:space="preserve">T655 (fait)</t>
  </si>
  <si>
    <t xml:space="preserve">T630 (à remplacer)</t>
  </si>
  <si>
    <t xml:space="preserve">T640 (à remplacer)</t>
  </si>
  <si>
    <t xml:space="preserve">Non renseigné / à saisir</t>
  </si>
  <si>
    <t xml:space="preserve">4.  VALIDATIONS QUALITÉ (checklist par poste, tous process suivis)</t>
  </si>
  <si>
    <t xml:space="preserve">Vérification</t>
  </si>
  <si>
    <t xml:space="preserve">OK</t>
  </si>
  <si>
    <t xml:space="preserve">Pas OK</t>
  </si>
  <si>
    <t xml:space="preserve">Total saisi</t>
  </si>
  <si>
    <t xml:space="preserve">% OK</t>
  </si>
  <si>
    <t xml:space="preserve">Genovation déplacé</t>
  </si>
  <si>
    <t xml:space="preserve">Scanner remplacé</t>
  </si>
  <si>
    <t xml:space="preserve">Système Mask en place</t>
  </si>
  <si>
    <t xml:space="preserve">Secure IT - Plaque</t>
  </si>
  <si>
    <t xml:space="preserve">Secure IT - Câble</t>
  </si>
  <si>
    <t xml:space="preserve">Support 3D pad</t>
  </si>
  <si>
    <t xml:space="preserve">Étiquetage</t>
  </si>
  <si>
    <t xml:space="preserve">5.  IMPRIMANTES — COUVERTURE ZD / ZT</t>
  </si>
  <si>
    <t xml:space="preserve">Renseigné</t>
  </si>
  <si>
    <t xml:space="preserve">N/A (non utilisé)</t>
  </si>
  <si>
    <t xml:space="preserve">À saisir</t>
  </si>
  <si>
    <t xml:space="preserve">Imprimante ZD</t>
  </si>
  <si>
    <t xml:space="preserve">Imprimante ZT</t>
  </si>
  <si>
    <t xml:space="preserve">6.  FOCUS BLOCAGES — À TRAITER EN PRIORITÉ</t>
  </si>
  <si>
    <t xml:space="preserve">7.  PLANNING &amp; PÉRIMÈTRE PROJET COMPLET</t>
  </si>
  <si>
    <t xml:space="preserve">Cadence retenue</t>
  </si>
  <si>
    <t xml:space="preserve">Total stations — projet complet</t>
  </si>
  <si>
    <t xml:space="preserve">Stations suivies en détail (onglets process)</t>
  </si>
  <si>
    <t xml:space="preserve">% du projet complet couvert par le suivi détaillé</t>
  </si>
  <si>
    <t xml:space="preserve">Fin projetée (cadence 2 stations/jour)</t>
  </si>
  <si>
    <t xml:space="preserve">Fin projetée (plein temps, 7h/jour dédiées)</t>
  </si>
  <si>
    <t xml:space="preserve">Processus restants non encore dotés d'un onglet de suivi détaillé (planifiés dans l'onglet «Planning - Calendrier») : Jackpot, VRET, GiftWrap, Problem Solve, Shipping, XLI4 (Receive 1/2/3, Sort 1/2).</t>
  </si>
  <si>
    <t xml:space="preserve">PROGRESSION DE LA REFONTE — OÙ EN EST CHAQUE PROCESS ?</t>
  </si>
  <si>
    <t xml:space="preserve">Statut de câblage (colonne «Câblage fait») par process — Terminé / En cours / À faire, avec volumes.</t>
  </si>
  <si>
    <t xml:space="preserve">TABLEAU D'AVANCEMENT PAR PROCESS</t>
  </si>
  <si>
    <t xml:space="preserve">Terminé</t>
  </si>
  <si>
    <t xml:space="preserve">% Terminé</t>
  </si>
  <si>
    <t xml:space="preserve">TOTAL SUIVI</t>
  </si>
  <si>
    <t xml:space="preserve">VUE GLOBALE DU PROJET COMPLET (199 STATIONS)</t>
  </si>
  <si>
    <t xml:space="preserve">Stations</t>
  </si>
  <si>
    <t xml:space="preserve">À faire (suivi en détail)</t>
  </si>
  <si>
    <t xml:space="preserve">Non suivi en détail (autres process)</t>
  </si>
  <si>
    <t xml:space="preserve">TEMPS — RÉFÉRENCE ET TOTAUX</t>
  </si>
  <si>
    <t xml:space="preserve">1. Temps total restant, par process (colonne «Temps estimé (min)» des onglets process)</t>
  </si>
  <si>
    <t xml:space="preserve">Temps estimé restant (min)</t>
  </si>
  <si>
    <t xml:space="preserve">Temps estimé restant (h)</t>
  </si>
  <si>
    <t xml:space="preserve">2. Durées de référence par action (minutes) — méthodologie Pack single, à titre indicatif</t>
  </si>
  <si>
    <t xml:space="preserve">Action</t>
  </si>
  <si>
    <t xml:space="preserve">Config TC</t>
  </si>
  <si>
    <t xml:space="preserve">Remplacement TC</t>
  </si>
  <si>
    <t xml:space="preserve">Ajout plaque</t>
  </si>
  <si>
    <t xml:space="preserve">Ajout protection câble</t>
  </si>
  <si>
    <t xml:space="preserve">Recâblage</t>
  </si>
  <si>
    <t xml:space="preserve">Changement position Genovation</t>
  </si>
  <si>
    <t xml:space="preserve">Test</t>
  </si>
  <si>
    <t xml:space="preserve">Durée (min)</t>
  </si>
  <si>
    <t xml:space="preserve">Station</t>
  </si>
  <si>
    <t xml:space="preserve">Modèle TC</t>
  </si>
  <si>
    <t xml:space="preserve">Câblage fait</t>
  </si>
  <si>
    <t xml:space="preserve">Autres périphériques</t>
  </si>
  <si>
    <t xml:space="preserve">Commentaire</t>
  </si>
  <si>
    <t xml:space="preserve">Temps estimé (min)</t>
  </si>
  <si>
    <t xml:space="preserve">Stations impaires</t>
  </si>
  <si>
    <t xml:space="preserve">wsSingle_01_01</t>
  </si>
  <si>
    <t xml:space="preserve">T655</t>
  </si>
  <si>
    <t xml:space="preserve">N/A</t>
  </si>
  <si>
    <t xml:space="preserve">A faire</t>
  </si>
  <si>
    <t xml:space="preserve">wsSingle_01_03</t>
  </si>
  <si>
    <t xml:space="preserve">wsSingle_01_05</t>
  </si>
  <si>
    <t xml:space="preserve">wsSingle_01_07</t>
  </si>
  <si>
    <t xml:space="preserve">wsSingle_01_09</t>
  </si>
  <si>
    <t xml:space="preserve">wsSingle_01_11</t>
  </si>
  <si>
    <t xml:space="preserve">wsSingle_01_13</t>
  </si>
  <si>
    <t xml:space="preserve">wsSingle_01_15</t>
  </si>
  <si>
    <t xml:space="preserve">wsSingle_01_17</t>
  </si>
  <si>
    <t xml:space="preserve">wsSingle_01_19</t>
  </si>
  <si>
    <t xml:space="preserve">wsSingle_01_21</t>
  </si>
  <si>
    <t xml:space="preserve">wsSingle_01_23</t>
  </si>
  <si>
    <t xml:space="preserve">wsSingle_01_25</t>
  </si>
  <si>
    <t xml:space="preserve">manque wat-machine</t>
  </si>
  <si>
    <t xml:space="preserve">remplacement cable hyperscan</t>
  </si>
  <si>
    <t xml:space="preserve">wsSingle_01_27</t>
  </si>
  <si>
    <t xml:space="preserve">reimager le pc manque adm approval + port usb endommage</t>
  </si>
  <si>
    <t xml:space="preserve">Stations paires</t>
  </si>
  <si>
    <t xml:space="preserve">wsSingle_01_02</t>
  </si>
  <si>
    <t xml:space="preserve">wsSingle_01_04</t>
  </si>
  <si>
    <t xml:space="preserve">T630</t>
  </si>
  <si>
    <t xml:space="preserve">wsSingle_01_06</t>
  </si>
  <si>
    <t xml:space="preserve">wsSingle_01_08</t>
  </si>
  <si>
    <t xml:space="preserve">wsSingle_01_10</t>
  </si>
  <si>
    <t xml:space="preserve">manque touche pad numerique</t>
  </si>
  <si>
    <t xml:space="preserve">wsSingle_01_12</t>
  </si>
  <si>
    <t xml:space="preserve">wsSingle_01_14</t>
  </si>
  <si>
    <t xml:space="preserve">wsSingle_01_16</t>
  </si>
  <si>
    <t xml:space="preserve">wsSingle_01_18</t>
  </si>
  <si>
    <t xml:space="preserve">wsSingle_01_20</t>
  </si>
  <si>
    <t xml:space="preserve">wsSingle_01_22</t>
  </si>
  <si>
    <t xml:space="preserve">pad numerique remplacer hub usb changer TC changer</t>
  </si>
  <si>
    <t xml:space="preserve">wsSingle_01_24</t>
  </si>
  <si>
    <t xml:space="preserve">RAS</t>
  </si>
  <si>
    <t xml:space="preserve">remplacement cable genovation, cable video, ajout d un hib usb et de la protection hyper scan TC changer</t>
  </si>
  <si>
    <t xml:space="preserve">wsSingle_02_01</t>
  </si>
  <si>
    <t xml:space="preserve">wsSingle_02_03</t>
  </si>
  <si>
    <t xml:space="preserve">cable hyperscan + hub usb remplacer</t>
  </si>
  <si>
    <t xml:space="preserve">wsSingle_02_05</t>
  </si>
  <si>
    <t xml:space="preserve">cable hyperscan + hub usb remplacer </t>
  </si>
  <si>
    <t xml:space="preserve">wsSingle_02_07</t>
  </si>
  <si>
    <t xml:space="preserve">wsSingle_02_09</t>
  </si>
  <si>
    <t xml:space="preserve">wsSingle_02_11</t>
  </si>
  <si>
    <t xml:space="preserve">wsSingle_02_13</t>
  </si>
  <si>
    <t xml:space="preserve">cable hyperscan abime</t>
  </si>
  <si>
    <t xml:space="preserve">wsSingle_02_15</t>
  </si>
  <si>
    <t xml:space="preserve">wsSingle_02_17</t>
  </si>
  <si>
    <t xml:space="preserve">wsSingle_02_19</t>
  </si>
  <si>
    <t xml:space="preserve">wsSingle_02_21</t>
  </si>
  <si>
    <t xml:space="preserve">wsSingle_02_23</t>
  </si>
  <si>
    <t xml:space="preserve">wsSingle_02_25</t>
  </si>
  <si>
    <t xml:space="preserve"> Système de levage</t>
  </si>
  <si>
    <t xml:space="preserve">Boutons de réglage de la hauteur de la table d'emballage abîmés</t>
  </si>
  <si>
    <t xml:space="preserve">wsSingle_02_27</t>
  </si>
  <si>
    <t xml:space="preserve">remplacement du cable hyperscan</t>
  </si>
  <si>
    <t xml:space="preserve">wsSingle_02_02</t>
  </si>
  <si>
    <t xml:space="preserve">wsSingle_02_04</t>
  </si>
  <si>
    <t xml:space="preserve">GOLDEN STATION cable display port en double</t>
  </si>
  <si>
    <t xml:space="preserve">wsSingle_02_06</t>
  </si>
  <si>
    <t xml:space="preserve">wsSingle_02_08</t>
  </si>
  <si>
    <t xml:space="preserve">wsSingle_02_10</t>
  </si>
  <si>
    <t xml:space="preserve">wsSingle_02_12</t>
  </si>
  <si>
    <t xml:space="preserve">wsSingle_02_14</t>
  </si>
  <si>
    <t xml:space="preserve">wsSingle_02_16</t>
  </si>
  <si>
    <t xml:space="preserve">wsSingle_02_18</t>
  </si>
  <si>
    <t xml:space="preserve">wsSingle_02_20</t>
  </si>
  <si>
    <t xml:space="preserve">HUB USB remplacer TC remplacer </t>
  </si>
  <si>
    <t xml:space="preserve">wsSingle_02_22</t>
  </si>
  <si>
    <t xml:space="preserve">wsSingle_02_24</t>
  </si>
  <si>
    <t xml:space="preserve">Pave numerique remplacer</t>
  </si>
  <si>
    <t xml:space="preserve">PCNS 1  -  9 stations</t>
  </si>
  <si>
    <t xml:space="preserve">wsPCNS_1_01</t>
  </si>
  <si>
    <t xml:space="preserve">wsPCNS_1_02</t>
  </si>
  <si>
    <t xml:space="preserve">wsPCNS_1_03</t>
  </si>
  <si>
    <t xml:space="preserve">wsPCNS_1_04</t>
  </si>
  <si>
    <t xml:space="preserve">wsPCNS_1_05</t>
  </si>
  <si>
    <t xml:space="preserve">wsPCNS_1_06</t>
  </si>
  <si>
    <t xml:space="preserve">wsPCNS_1_07</t>
  </si>
  <si>
    <t xml:space="preserve">wsPCNS_1_08</t>
  </si>
  <si>
    <t xml:space="preserve">wsPCNS_1_09</t>
  </si>
  <si>
    <t xml:space="preserve">PCNS 2  -  7 stations</t>
  </si>
  <si>
    <t xml:space="preserve">wsPCNS_2_01</t>
  </si>
  <si>
    <t xml:space="preserve">wsPCNS_2_02</t>
  </si>
  <si>
    <t xml:space="preserve">wsPCNS_2_03</t>
  </si>
  <si>
    <t xml:space="preserve">wsPCNS_2_04</t>
  </si>
  <si>
    <t xml:space="preserve">wsPCNS_2_05</t>
  </si>
  <si>
    <t xml:space="preserve">wsPCNS_2_06</t>
  </si>
  <si>
    <t xml:space="preserve">wsPCNS_2_07</t>
  </si>
  <si>
    <t xml:space="preserve">wsKO_01</t>
  </si>
  <si>
    <t xml:space="preserve">wsKO_02</t>
  </si>
  <si>
    <t xml:space="preserve">wsKO_03</t>
  </si>
  <si>
    <t xml:space="preserve">wsKO_04</t>
  </si>
  <si>
    <t xml:space="preserve">wsP2R_01</t>
  </si>
  <si>
    <t xml:space="preserve">wsP2R_02</t>
  </si>
  <si>
    <t xml:space="preserve">wsP2R_03</t>
  </si>
  <si>
    <t xml:space="preserve">wsP2R_04</t>
  </si>
  <si>
    <t xml:space="preserve">wsP2R_05</t>
  </si>
  <si>
    <t xml:space="preserve">wsP2R_06</t>
  </si>
  <si>
    <t xml:space="preserve">wsP2R_07</t>
  </si>
  <si>
    <t xml:space="preserve">wsP2R_08</t>
  </si>
  <si>
    <t xml:space="preserve">wsP2R_09</t>
  </si>
  <si>
    <t xml:space="preserve">wsP2R_10</t>
  </si>
  <si>
    <t xml:space="preserve">wsP2R_11</t>
  </si>
  <si>
    <t xml:space="preserve">wsP2R_12</t>
  </si>
  <si>
    <t xml:space="preserve">wsP2R_13</t>
  </si>
  <si>
    <t xml:space="preserve">wsP2R_14</t>
  </si>
  <si>
    <t xml:space="preserve">wsP2R_15</t>
  </si>
  <si>
    <t xml:space="preserve">wsP2R_16</t>
  </si>
  <si>
    <t xml:space="preserve">wsP2R_17</t>
  </si>
  <si>
    <t xml:space="preserve">wsP2R_18</t>
  </si>
  <si>
    <t xml:space="preserve">wsP2R_19</t>
  </si>
  <si>
    <t xml:space="preserve">wsP2R_20</t>
  </si>
  <si>
    <t xml:space="preserve">wsP2R_21</t>
  </si>
  <si>
    <t xml:space="preserve">wsP2R_22</t>
  </si>
  <si>
    <t xml:space="preserve">wsP2R_23</t>
  </si>
  <si>
    <t xml:space="preserve">wsP2R_24</t>
  </si>
  <si>
    <t xml:space="preserve">wsP2R_25</t>
  </si>
  <si>
    <t xml:space="preserve">wsP2R_26</t>
  </si>
  <si>
    <t xml:space="preserve">wsP2R_27</t>
  </si>
  <si>
    <t xml:space="preserve">wsP2R_28</t>
  </si>
  <si>
    <t xml:space="preserve">wsP2R_29</t>
  </si>
  <si>
    <t xml:space="preserve">wsP2R_30</t>
  </si>
  <si>
    <t xml:space="preserve">wsP2R_31</t>
  </si>
  <si>
    <t xml:space="preserve">wsP2R_32</t>
  </si>
  <si>
    <t xml:space="preserve">wsP2R_33</t>
  </si>
  <si>
    <t xml:space="preserve">wsP2R_34</t>
  </si>
  <si>
    <t xml:space="preserve">wsP2R_35</t>
  </si>
  <si>
    <t xml:space="preserve">wsP2R_36</t>
  </si>
  <si>
    <t xml:space="preserve">wsP2R_37</t>
  </si>
  <si>
    <t xml:space="preserve">wsP2R_38</t>
  </si>
  <si>
    <t xml:space="preserve">wsP2R_39</t>
  </si>
  <si>
    <t xml:space="preserve">wsP2R_40</t>
  </si>
  <si>
    <t xml:space="preserve">wsP2R_41</t>
  </si>
  <si>
    <t xml:space="preserve">wsP2R_42</t>
  </si>
  <si>
    <t xml:space="preserve">wsP2R_43</t>
  </si>
  <si>
    <t xml:space="preserve">wsP2R_44</t>
  </si>
  <si>
    <t xml:space="preserve">wsP2R_45</t>
  </si>
  <si>
    <t xml:space="preserve">wsP2R_46</t>
  </si>
  <si>
    <t xml:space="preserve">wsP2R_47</t>
  </si>
  <si>
    <t xml:space="preserve">wsP2R_48</t>
  </si>
  <si>
    <t xml:space="preserve">wsP2R_49</t>
  </si>
  <si>
    <t xml:space="preserve">wsP2R_50</t>
  </si>
  <si>
    <t xml:space="preserve">wsP2R_51</t>
  </si>
  <si>
    <t xml:space="preserve">wsP2R_52</t>
  </si>
  <si>
    <t xml:space="preserve">wsP2R_53</t>
  </si>
  <si>
    <t xml:space="preserve">wsP2R_54</t>
  </si>
  <si>
    <t xml:space="preserve">wsP2R_55</t>
  </si>
  <si>
    <t xml:space="preserve">wsP2R_56</t>
  </si>
  <si>
    <t xml:space="preserve">wsP2R_57</t>
  </si>
  <si>
    <t xml:space="preserve">wsP2R_58</t>
  </si>
  <si>
    <t xml:space="preserve">wsP2R_59</t>
  </si>
  <si>
    <t xml:space="preserve">wsP2R_60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</si>
</sst>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General"/>
    <numFmt numFmtId="167" formatCode="dd/mm/yyyy&quot; (&quot;ddd\)"/>
    <numFmt numFmtId="168" formatCode="0.0&quot; h&quot;"/>
    <numFmt numFmtId="169" formatCode="0.0"/>
    <numFmt numFmtId="170" formatCode="0\ 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rial"/>
      <family val="0"/>
      <charset val="1"/>
    </font>
    <font>
      <i val="true"/>
      <sz val="9"/>
      <color theme="1"/>
      <name val="Arial"/>
      <family val="0"/>
      <charset val="1"/>
    </font>
    <font>
      <b val="true"/>
      <sz val="10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1"/>
      <name val="Cambria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2"/>
      <charset val="1"/>
    </font>
    <font>
      <sz val="11"/>
      <color theme="1"/>
      <name val="Calibri"/>
      <family val="0"/>
      <charset val="1"/>
    </font>
    <font>
      <i val="true"/>
      <sz val="11"/>
      <color theme="1"/>
      <name val="Calibri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4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20"/>
      <color theme="1"/>
      <name val="Calibri"/>
      <family val="0"/>
      <charset val="1"/>
    </font>
    <font>
      <b val="true"/>
      <sz val="18"/>
      <color theme="1"/>
      <name val="Cambria"/>
      <family val="0"/>
      <charset val="1"/>
    </font>
    <font>
      <b val="true"/>
      <sz val="11"/>
      <color theme="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5983B0"/>
        <bgColor rgb="FF4F81BD"/>
      </patternFill>
    </fill>
    <fill>
      <patternFill patternType="solid">
        <fgColor rgb="FFFFFF99"/>
        <bgColor rgb="FFFFE0B2"/>
      </patternFill>
    </fill>
    <fill>
      <patternFill patternType="solid">
        <fgColor rgb="FF34495E"/>
        <bgColor rgb="FF1B2A4A"/>
      </patternFill>
    </fill>
    <fill>
      <patternFill patternType="solid">
        <fgColor rgb="FF5D6D7E"/>
        <bgColor rgb="FF7F7F7F"/>
      </patternFill>
    </fill>
    <fill>
      <patternFill patternType="solid">
        <fgColor rgb="FFC6EFCE"/>
        <bgColor rgb="FFD9D9D9"/>
      </patternFill>
    </fill>
    <fill>
      <patternFill patternType="solid">
        <fgColor rgb="FF9C2B2B"/>
        <bgColor rgb="FF993366"/>
      </patternFill>
    </fill>
    <fill>
      <patternFill patternType="solid">
        <fgColor rgb="FF1B2A4A"/>
        <bgColor rgb="FF003366"/>
      </patternFill>
    </fill>
    <fill>
      <patternFill patternType="solid">
        <fgColor rgb="FFEFF3F8"/>
        <bgColor rgb="FFF9F9F9"/>
      </patternFill>
    </fill>
    <fill>
      <patternFill patternType="solid">
        <fgColor rgb="FFFFE0B2"/>
        <bgColor rgb="FFFFC7CE"/>
      </patternFill>
    </fill>
    <fill>
      <patternFill patternType="solid">
        <fgColor rgb="FFFFC7CE"/>
        <bgColor rgb="FFFFE0B2"/>
      </patternFill>
    </fill>
    <fill>
      <patternFill patternType="solid">
        <fgColor rgb="FFE7E6E6"/>
        <bgColor rgb="FFEFF3F8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1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3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3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3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3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3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1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8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8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9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9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9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8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0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0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0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0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0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17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7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0" fillId="1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1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0" fontId="11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1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8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7" fillId="4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Calibri"/>
        <charset val="1"/>
        <family val="2"/>
        <color rgb="FF006100"/>
        <sz val="11"/>
      </font>
      <fill>
        <patternFill>
          <bgColor rgb="FFC6EFCE"/>
        </patternFill>
      </fill>
    </dxf>
    <dxf>
      <font>
        <name val="Calibri"/>
        <charset val="1"/>
        <family val="2"/>
        <color rgb="FF9C0006"/>
        <sz val="11"/>
      </font>
      <fill>
        <patternFill>
          <bgColor rgb="FFFFC7CE"/>
        </patternFill>
      </fill>
    </dxf>
    <dxf>
      <font>
        <name val="Calibri"/>
        <charset val="1"/>
        <family val="2"/>
        <color rgb="FF9C5700"/>
        <sz val="11"/>
      </font>
      <fill>
        <patternFill>
          <bgColor rgb="FFFFE0B2"/>
        </patternFill>
      </fill>
    </dxf>
    <dxf>
      <font>
        <name val="Calibri"/>
        <charset val="1"/>
        <family val="0"/>
        <i val="1"/>
        <color rgb="FF7F7F7F"/>
        <sz val="11"/>
      </font>
      <fill>
        <patternFill>
          <bgColor rgb="FFE7E6E6"/>
        </patternFill>
      </fill>
    </dxf>
  </dxfs>
  <colors>
    <indexedColors>
      <rgbColor rgb="FF000000"/>
      <rgbColor rgb="FFF9F9F9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5700"/>
      <rgbColor rgb="FF800080"/>
      <rgbColor rgb="FF5983B0"/>
      <rgbColor rgb="FFBFBFBF"/>
      <rgbColor rgb="FF7F7F7F"/>
      <rgbColor rgb="FF878787"/>
      <rgbColor rgb="FFC62828"/>
      <rgbColor rgb="FFEFF3F8"/>
      <rgbColor rgb="FFE7E6E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C7CE"/>
      <rgbColor rgb="FFCC99FF"/>
      <rgbColor rgb="FFFFE0B2"/>
      <rgbColor rgb="FF4F81BD"/>
      <rgbColor rgb="FF33CCCC"/>
      <rgbColor rgb="FF99CC00"/>
      <rgbColor rgb="FFFFCC00"/>
      <rgbColor rgb="FFF9A825"/>
      <rgbColor rgb="FFFF6600"/>
      <rgbColor rgb="FF5D6D7E"/>
      <rgbColor rgb="FF9E9E9E"/>
      <rgbColor rgb="FF003366"/>
      <rgbColor rgb="FF2E7D32"/>
      <rgbColor rgb="FF003300"/>
      <rgbColor rgb="FF333300"/>
      <rgbColor rgb="FF9C2B2B"/>
      <rgbColor rgb="FF993366"/>
      <rgbColor rgb="FF34495E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DejaVu Sans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DejaVu Sans"/>
              </a:rPr>
              <a:t>Avancement par process (nombre de stations)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Progression!$D$6</c:f>
              <c:strCache>
                <c:ptCount val="1"/>
                <c:pt idx="0">
                  <c:v>Terminé</c:v>
                </c:pt>
              </c:strCache>
            </c:strRef>
          </c:tx>
          <c:spPr>
            <a:solidFill>
              <a:srgbClr val="2e7d32"/>
            </a:solidFill>
            <a:ln w="936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Progression!$B$7:$B$12</c:f>
              <c:strCache>
                <c:ptCount val="6"/>
                <c:pt idx="0">
                  <c:v>Single 1</c:v>
                </c:pt>
                <c:pt idx="1">
                  <c:v>Single 2</c:v>
                </c:pt>
                <c:pt idx="2">
                  <c:v>PCNS 1</c:v>
                </c:pt>
                <c:pt idx="3">
                  <c:v>PCNS 2</c:v>
                </c:pt>
                <c:pt idx="4">
                  <c:v>KO</c:v>
                </c:pt>
                <c:pt idx="5">
                  <c:v>P2R</c:v>
                </c:pt>
              </c:strCache>
            </c:strRef>
          </c:cat>
          <c:val>
            <c:numRef>
              <c:f>Progression!$D$7:$D$12</c:f>
              <c:numCache>
                <c:formatCode>General</c:formatCode>
                <c:ptCount val="6"/>
                <c:pt idx="0">
                  <c:v>4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Progression!$E$6</c:f>
              <c:strCache>
                <c:ptCount val="1"/>
                <c:pt idx="0">
                  <c:v>En cours</c:v>
                </c:pt>
              </c:strCache>
            </c:strRef>
          </c:tx>
          <c:spPr>
            <a:solidFill>
              <a:srgbClr val="f9a825"/>
            </a:solidFill>
            <a:ln w="936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Progression!$B$7:$B$12</c:f>
              <c:strCache>
                <c:ptCount val="6"/>
                <c:pt idx="0">
                  <c:v>Single 1</c:v>
                </c:pt>
                <c:pt idx="1">
                  <c:v>Single 2</c:v>
                </c:pt>
                <c:pt idx="2">
                  <c:v>PCNS 1</c:v>
                </c:pt>
                <c:pt idx="3">
                  <c:v>PCNS 2</c:v>
                </c:pt>
                <c:pt idx="4">
                  <c:v>KO</c:v>
                </c:pt>
                <c:pt idx="5">
                  <c:v>P2R</c:v>
                </c:pt>
              </c:strCache>
            </c:strRef>
          </c:cat>
          <c:val>
            <c:numRef>
              <c:f>Progression!$E$7:$E$12</c:f>
              <c:numCache>
                <c:formatCode>General</c:formatCode>
                <c:ptCount val="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Progression!$F$6</c:f>
              <c:strCache>
                <c:ptCount val="1"/>
                <c:pt idx="0">
                  <c:v>À faire</c:v>
                </c:pt>
              </c:strCache>
            </c:strRef>
          </c:tx>
          <c:spPr>
            <a:solidFill>
              <a:srgbClr val="c62828"/>
            </a:solidFill>
            <a:ln w="936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Progression!$B$7:$B$12</c:f>
              <c:strCache>
                <c:ptCount val="6"/>
                <c:pt idx="0">
                  <c:v>Single 1</c:v>
                </c:pt>
                <c:pt idx="1">
                  <c:v>Single 2</c:v>
                </c:pt>
                <c:pt idx="2">
                  <c:v>PCNS 1</c:v>
                </c:pt>
                <c:pt idx="3">
                  <c:v>PCNS 2</c:v>
                </c:pt>
                <c:pt idx="4">
                  <c:v>KO</c:v>
                </c:pt>
                <c:pt idx="5">
                  <c:v>P2R</c:v>
                </c:pt>
              </c:strCache>
            </c:strRef>
          </c:cat>
          <c:val>
            <c:numRef>
              <c:f>Progression!$F$7:$F$12</c:f>
              <c:numCache>
                <c:formatCode>General</c:formatCode>
                <c:ptCount val="6"/>
                <c:pt idx="0">
                  <c:v>21</c:v>
                </c:pt>
                <c:pt idx="1">
                  <c:v>20</c:v>
                </c:pt>
                <c:pt idx="2">
                  <c:v>9</c:v>
                </c:pt>
                <c:pt idx="3">
                  <c:v>7</c:v>
                </c:pt>
                <c:pt idx="4">
                  <c:v>4</c:v>
                </c:pt>
                <c:pt idx="5">
                  <c:v>60</c:v>
                </c:pt>
              </c:numCache>
            </c:numRef>
          </c:val>
        </c:ser>
        <c:gapWidth val="60"/>
        <c:overlap val="100"/>
        <c:axId val="96658867"/>
        <c:axId val="70563740"/>
      </c:barChart>
      <c:catAx>
        <c:axId val="9665886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DejaVu Sans"/>
              </a:defRPr>
            </a:pPr>
          </a:p>
        </c:txPr>
        <c:crossAx val="70563740"/>
        <c:crosses val="autoZero"/>
        <c:auto val="1"/>
        <c:lblAlgn val="ctr"/>
        <c:lblOffset val="100"/>
        <c:noMultiLvlLbl val="0"/>
      </c:catAx>
      <c:valAx>
        <c:axId val="705637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DejaVu Sans"/>
              </a:defRPr>
            </a:pPr>
          </a:p>
        </c:txPr>
        <c:crossAx val="9665886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DejaVu Sans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DejaVu Sans"/>
              </a:rPr>
              <a:t>Avancement — projet complet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2e7d3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f9a825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c6282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9e9e9e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DejaVu Sans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DejaVu Sans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DejaVu Sans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eparator>; </c:separator>
            </c:dLbl>
            <c:dLbl>
              <c:idx val="3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DejaVu Sans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DejaVu San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eparator>; </c:separator>
            <c:showLeaderLines val="1"/>
          </c:dLbls>
          <c:cat>
            <c:strRef>
              <c:f>Progression!$B$37:$B$40</c:f>
              <c:strCache>
                <c:ptCount val="4"/>
                <c:pt idx="0">
                  <c:v>Terminé</c:v>
                </c:pt>
                <c:pt idx="1">
                  <c:v>En cours</c:v>
                </c:pt>
                <c:pt idx="2">
                  <c:v>À faire (suivi en détail)</c:v>
                </c:pt>
                <c:pt idx="3">
                  <c:v>Non suivi en détail (autres process)</c:v>
                </c:pt>
              </c:strCache>
            </c:strRef>
          </c:cat>
          <c:val>
            <c:numRef>
              <c:f>Progression!$C$37:$C$40</c:f>
              <c:numCache>
                <c:formatCode>General</c:formatCode>
                <c:ptCount val="4"/>
                <c:pt idx="0">
                  <c:v>10</c:v>
                </c:pt>
                <c:pt idx="1">
                  <c:v>1</c:v>
                </c:pt>
                <c:pt idx="2">
                  <c:v>121</c:v>
                </c:pt>
                <c:pt idx="3">
                  <c:v>67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0</xdr:rowOff>
    </xdr:from>
    <xdr:to>
      <xdr:col>9</xdr:col>
      <xdr:colOff>549000</xdr:colOff>
      <xdr:row>33</xdr:row>
      <xdr:rowOff>84600</xdr:rowOff>
    </xdr:to>
    <xdr:graphicFrame>
      <xdr:nvGraphicFramePr>
        <xdr:cNvPr id="0" name="Chart 1"/>
        <xdr:cNvGraphicFramePr/>
      </xdr:nvGraphicFramePr>
      <xdr:xfrm>
        <a:off x="261000" y="326196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43</xdr:row>
      <xdr:rowOff>0</xdr:rowOff>
    </xdr:from>
    <xdr:to>
      <xdr:col>6</xdr:col>
      <xdr:colOff>528120</xdr:colOff>
      <xdr:row>61</xdr:row>
      <xdr:rowOff>84600</xdr:rowOff>
    </xdr:to>
    <xdr:graphicFrame>
      <xdr:nvGraphicFramePr>
        <xdr:cNvPr id="1" name="Chart 2"/>
        <xdr:cNvGraphicFramePr/>
      </xdr:nvGraphicFramePr>
      <xdr:xfrm>
        <a:off x="261000" y="8768880"/>
        <a:ext cx="503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3" activeCellId="1" sqref="38:38 F33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5" min="5" style="1" width="11"/>
    <col collapsed="false" customWidth="true" hidden="false" outlineLevel="0" max="7" min="7" style="1" width="10"/>
    <col collapsed="false" customWidth="true" hidden="false" outlineLevel="0" max="9" min="9" style="1" width="12"/>
    <col collapsed="false" customWidth="true" hidden="false" outlineLevel="0" max="11" min="11" style="1" width="9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27.7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3.8" hidden="false" customHeight="false" outlineLevel="0" collapsed="false"/>
    <row r="4" customFormat="false" ht="54" hidden="false" customHeight="true" outlineLevel="0" collapsed="false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</row>
    <row r="5" customFormat="false" ht="21.75" hidden="false" customHeight="true" outlineLevel="0" collapsed="false">
      <c r="A5" s="5" t="s">
        <v>12</v>
      </c>
      <c r="B5" s="5" t="s">
        <v>13</v>
      </c>
      <c r="C5" s="6" t="n">
        <v>20</v>
      </c>
      <c r="D5" s="6" t="n">
        <v>150</v>
      </c>
      <c r="E5" s="6" t="n">
        <v>5</v>
      </c>
      <c r="F5" s="6" t="n">
        <v>5</v>
      </c>
      <c r="G5" s="6" t="n">
        <f aca="false">C5-E5-F5</f>
        <v>10</v>
      </c>
      <c r="H5" s="6" t="n">
        <v>15</v>
      </c>
      <c r="I5" s="6" t="str">
        <f aca="false">IF(H5="","À définir",IF(G5&lt;H5,"Oui","Non"))</f>
        <v>Oui</v>
      </c>
      <c r="J5" s="6" t="n">
        <v>30</v>
      </c>
      <c r="K5" s="5" t="s">
        <v>14</v>
      </c>
    </row>
    <row r="6" customFormat="false" ht="27.75" hidden="false" customHeight="true" outlineLevel="0" collapsed="false">
      <c r="A6" s="7" t="s">
        <v>15</v>
      </c>
      <c r="B6" s="8" t="s">
        <v>13</v>
      </c>
      <c r="C6" s="9" t="n">
        <v>52</v>
      </c>
      <c r="D6" s="8" t="n">
        <v>40</v>
      </c>
      <c r="E6" s="9" t="n">
        <v>6</v>
      </c>
      <c r="F6" s="9" t="n">
        <v>0</v>
      </c>
      <c r="G6" s="6" t="n">
        <f aca="false">C6-E6-F6</f>
        <v>46</v>
      </c>
      <c r="H6" s="9" t="n">
        <v>30</v>
      </c>
      <c r="I6" s="8" t="str">
        <f aca="false">IF(H6="","À définir",IF(G6&lt;H6,"Oui","Non"))</f>
        <v>Non</v>
      </c>
      <c r="J6" s="9"/>
      <c r="K6" s="9"/>
    </row>
    <row r="7" customFormat="false" ht="27.75" hidden="false" customHeight="true" outlineLevel="0" collapsed="false">
      <c r="A7" s="7" t="s">
        <v>16</v>
      </c>
      <c r="B7" s="8" t="s">
        <v>13</v>
      </c>
      <c r="C7" s="9" t="n">
        <v>13</v>
      </c>
      <c r="D7" s="8" t="n">
        <v>7</v>
      </c>
      <c r="E7" s="9" t="n">
        <v>0</v>
      </c>
      <c r="F7" s="9" t="n">
        <v>12</v>
      </c>
      <c r="G7" s="6" t="n">
        <f aca="false">C7-E7-F7</f>
        <v>1</v>
      </c>
      <c r="H7" s="9" t="n">
        <v>5</v>
      </c>
      <c r="I7" s="8" t="str">
        <f aca="false">IF(H7="","À définir",IF(G7&lt;H7,"Oui","Non"))</f>
        <v>Oui</v>
      </c>
      <c r="J7" s="9"/>
      <c r="K7" s="9"/>
    </row>
    <row r="8" customFormat="false" ht="27.75" hidden="false" customHeight="true" outlineLevel="0" collapsed="false">
      <c r="A8" s="7" t="s">
        <v>17</v>
      </c>
      <c r="B8" s="8" t="s">
        <v>13</v>
      </c>
      <c r="C8" s="9" t="n">
        <v>7</v>
      </c>
      <c r="D8" s="8" t="n">
        <v>5</v>
      </c>
      <c r="E8" s="9" t="n">
        <v>0</v>
      </c>
      <c r="F8" s="9" t="n">
        <v>7</v>
      </c>
      <c r="G8" s="6" t="n">
        <f aca="false">C8-E8-F8</f>
        <v>0</v>
      </c>
      <c r="H8" s="9" t="n">
        <v>5</v>
      </c>
      <c r="I8" s="8" t="str">
        <f aca="false">IF(H8="","À définir",IF(G8&lt;H8,"Oui","Non"))</f>
        <v>Oui</v>
      </c>
      <c r="J8" s="9"/>
      <c r="K8" s="9"/>
    </row>
    <row r="9" customFormat="false" ht="27.75" hidden="false" customHeight="true" outlineLevel="0" collapsed="false">
      <c r="A9" s="7" t="s">
        <v>18</v>
      </c>
      <c r="B9" s="8" t="s">
        <v>13</v>
      </c>
      <c r="C9" s="9" t="n">
        <v>3</v>
      </c>
      <c r="D9" s="8" t="n">
        <v>12</v>
      </c>
      <c r="E9" s="9" t="n">
        <v>0</v>
      </c>
      <c r="F9" s="9" t="n">
        <v>0</v>
      </c>
      <c r="G9" s="6" t="n">
        <f aca="false">C9-E9-F9</f>
        <v>3</v>
      </c>
      <c r="H9" s="9" t="n">
        <v>5</v>
      </c>
      <c r="I9" s="8" t="str">
        <f aca="false">IF(H9="","À définir",IF(G9&lt;H9,"Oui","Non"))</f>
        <v>Oui</v>
      </c>
      <c r="J9" s="9"/>
      <c r="K9" s="9"/>
    </row>
    <row r="10" customFormat="false" ht="30.75" hidden="false" customHeight="true" outlineLevel="0" collapsed="false">
      <c r="A10" s="7" t="s">
        <v>19</v>
      </c>
      <c r="B10" s="8" t="s">
        <v>13</v>
      </c>
      <c r="C10" s="9" t="n">
        <v>5</v>
      </c>
      <c r="D10" s="8" t="s">
        <v>20</v>
      </c>
      <c r="E10" s="9" t="n">
        <v>0</v>
      </c>
      <c r="F10" s="9" t="n">
        <v>0</v>
      </c>
      <c r="G10" s="6" t="n">
        <f aca="false">C10-E10-F10</f>
        <v>5</v>
      </c>
      <c r="H10" s="9" t="n">
        <v>3</v>
      </c>
      <c r="I10" s="8" t="str">
        <f aca="false">IF(H10="","À définir",IF(G10&lt;H10,"Oui","Non"))</f>
        <v>Non</v>
      </c>
      <c r="J10" s="9"/>
      <c r="K10" s="9"/>
    </row>
    <row r="11" customFormat="false" ht="30.75" hidden="false" customHeight="true" outlineLevel="0" collapsed="false">
      <c r="A11" s="7" t="s">
        <v>21</v>
      </c>
      <c r="B11" s="8" t="s">
        <v>13</v>
      </c>
      <c r="C11" s="9" t="n">
        <v>52</v>
      </c>
      <c r="D11" s="8" t="s">
        <v>20</v>
      </c>
      <c r="E11" s="9" t="n">
        <v>0</v>
      </c>
      <c r="F11" s="9" t="n">
        <v>0</v>
      </c>
      <c r="G11" s="6" t="n">
        <f aca="false">C11-E11-F11</f>
        <v>52</v>
      </c>
      <c r="H11" s="9" t="n">
        <v>25</v>
      </c>
      <c r="I11" s="8" t="str">
        <f aca="false">IF(H11="","À définir",IF(G11&lt;H11,"Oui","Non"))</f>
        <v>Non</v>
      </c>
      <c r="J11" s="9"/>
      <c r="K11" s="9"/>
    </row>
    <row r="12" customFormat="false" ht="30.75" hidden="false" customHeight="true" outlineLevel="0" collapsed="false">
      <c r="A12" s="7" t="s">
        <v>22</v>
      </c>
      <c r="B12" s="8" t="s">
        <v>13</v>
      </c>
      <c r="C12" s="9" t="n">
        <v>17</v>
      </c>
      <c r="D12" s="8" t="s">
        <v>20</v>
      </c>
      <c r="E12" s="9" t="n">
        <v>0</v>
      </c>
      <c r="F12" s="9" t="n">
        <v>0</v>
      </c>
      <c r="G12" s="6" t="n">
        <f aca="false">C12-E12-F12</f>
        <v>17</v>
      </c>
      <c r="H12" s="9" t="n">
        <v>15</v>
      </c>
      <c r="I12" s="8" t="str">
        <f aca="false">IF(H12="","À définir",IF(G12&lt;H12,"Oui","Non"))</f>
        <v>Non</v>
      </c>
      <c r="J12" s="9"/>
      <c r="K12" s="9"/>
    </row>
    <row r="13" customFormat="false" ht="15" hidden="false" customHeight="true" outlineLevel="0" collapsed="false">
      <c r="A13" s="7" t="s">
        <v>23</v>
      </c>
      <c r="B13" s="8" t="s">
        <v>24</v>
      </c>
      <c r="C13" s="9" t="n">
        <v>180</v>
      </c>
      <c r="D13" s="8" t="s">
        <v>20</v>
      </c>
      <c r="E13" s="9" t="n">
        <v>0</v>
      </c>
      <c r="F13" s="9" t="n">
        <v>0</v>
      </c>
      <c r="G13" s="6" t="n">
        <f aca="false">C13-E13-F13</f>
        <v>180</v>
      </c>
      <c r="H13" s="9" t="n">
        <v>70</v>
      </c>
      <c r="I13" s="8" t="str">
        <f aca="false">IF(H13="","À définir",IF(G13&lt;H13,"Oui","Non"))</f>
        <v>Non</v>
      </c>
      <c r="J13" s="9"/>
      <c r="K13" s="9"/>
    </row>
    <row r="14" customFormat="false" ht="15" hidden="false" customHeight="true" outlineLevel="0" collapsed="false">
      <c r="A14" s="7" t="s">
        <v>25</v>
      </c>
      <c r="B14" s="8" t="s">
        <v>24</v>
      </c>
      <c r="C14" s="9" t="n">
        <v>0</v>
      </c>
      <c r="D14" s="8" t="s">
        <v>20</v>
      </c>
      <c r="E14" s="9" t="n">
        <v>0</v>
      </c>
      <c r="F14" s="9" t="n">
        <v>0</v>
      </c>
      <c r="G14" s="6" t="n">
        <f aca="false">C14-E14-F14</f>
        <v>0</v>
      </c>
      <c r="H14" s="9"/>
      <c r="I14" s="8" t="str">
        <f aca="false">IF(H14="","À définir",IF(G14&lt;H14,"Oui","Non"))</f>
        <v>À définir</v>
      </c>
      <c r="J14" s="9"/>
      <c r="K14" s="9"/>
    </row>
    <row r="15" customFormat="false" ht="15" hidden="false" customHeight="true" outlineLevel="0" collapsed="false">
      <c r="A15" s="7" t="s">
        <v>26</v>
      </c>
      <c r="B15" s="8" t="s">
        <v>24</v>
      </c>
      <c r="C15" s="9" t="n">
        <v>0</v>
      </c>
      <c r="D15" s="8" t="s">
        <v>20</v>
      </c>
      <c r="E15" s="9" t="n">
        <v>0</v>
      </c>
      <c r="F15" s="9" t="n">
        <v>0</v>
      </c>
      <c r="G15" s="6" t="n">
        <f aca="false">C15-E15-F15</f>
        <v>0</v>
      </c>
      <c r="H15" s="9"/>
      <c r="I15" s="8" t="str">
        <f aca="false">IF(H15="","À définir",IF(G15&lt;H15,"Oui","Non"))</f>
        <v>À définir</v>
      </c>
      <c r="J15" s="9"/>
      <c r="K15" s="9"/>
    </row>
    <row r="16" customFormat="false" ht="15" hidden="false" customHeight="true" outlineLevel="0" collapsed="false">
      <c r="A16" s="7" t="s">
        <v>27</v>
      </c>
      <c r="B16" s="8" t="s">
        <v>24</v>
      </c>
      <c r="C16" s="9" t="n">
        <v>0</v>
      </c>
      <c r="D16" s="8" t="s">
        <v>20</v>
      </c>
      <c r="E16" s="9" t="n">
        <v>0</v>
      </c>
      <c r="F16" s="9" t="n">
        <v>0</v>
      </c>
      <c r="G16" s="6" t="n">
        <f aca="false">C16-E16-F16</f>
        <v>0</v>
      </c>
      <c r="H16" s="9"/>
      <c r="I16" s="8" t="str">
        <f aca="false">IF(H16="","À définir",IF(G16&lt;H16,"Oui","Non"))</f>
        <v>À définir</v>
      </c>
      <c r="J16" s="9"/>
      <c r="K16" s="9"/>
    </row>
    <row r="17" customFormat="false" ht="15" hidden="false" customHeight="true" outlineLevel="0" collapsed="false">
      <c r="A17" s="7" t="s">
        <v>28</v>
      </c>
      <c r="B17" s="8" t="s">
        <v>24</v>
      </c>
      <c r="C17" s="9" t="n">
        <v>120</v>
      </c>
      <c r="D17" s="8" t="s">
        <v>20</v>
      </c>
      <c r="E17" s="9" t="n">
        <v>0</v>
      </c>
      <c r="F17" s="9" t="n">
        <v>0</v>
      </c>
      <c r="G17" s="6" t="n">
        <f aca="false">C17-E17-F17</f>
        <v>120</v>
      </c>
      <c r="H17" s="9" t="n">
        <v>70</v>
      </c>
      <c r="I17" s="8" t="str">
        <f aca="false">IF(H17="","À définir",IF(G17&lt;H17,"Oui","Non"))</f>
        <v>Non</v>
      </c>
      <c r="J17" s="9"/>
      <c r="K17" s="9"/>
    </row>
    <row r="18" customFormat="false" ht="15" hidden="false" customHeight="true" outlineLevel="0" collapsed="false">
      <c r="A18" s="7" t="s">
        <v>29</v>
      </c>
      <c r="B18" s="8" t="s">
        <v>24</v>
      </c>
      <c r="C18" s="9" t="n">
        <v>0</v>
      </c>
      <c r="D18" s="8" t="s">
        <v>20</v>
      </c>
      <c r="E18" s="9" t="n">
        <v>0</v>
      </c>
      <c r="F18" s="9" t="n">
        <v>0</v>
      </c>
      <c r="G18" s="6" t="n">
        <f aca="false">C18-E18-F18</f>
        <v>0</v>
      </c>
      <c r="H18" s="9"/>
      <c r="I18" s="8" t="str">
        <f aca="false">IF(H18="","À définir",IF(G18&lt;H18,"Oui","Non"))</f>
        <v>À définir</v>
      </c>
      <c r="J18" s="9"/>
      <c r="K18" s="9"/>
    </row>
    <row r="19" customFormat="false" ht="15" hidden="false" customHeight="true" outlineLevel="0" collapsed="false">
      <c r="A19" s="7" t="s">
        <v>30</v>
      </c>
      <c r="B19" s="8" t="s">
        <v>24</v>
      </c>
      <c r="C19" s="9" t="n">
        <v>0</v>
      </c>
      <c r="D19" s="8" t="s">
        <v>20</v>
      </c>
      <c r="E19" s="9" t="n">
        <v>0</v>
      </c>
      <c r="F19" s="9" t="n">
        <v>0</v>
      </c>
      <c r="G19" s="6" t="n">
        <f aca="false">C19-E19-F19</f>
        <v>0</v>
      </c>
      <c r="H19" s="9"/>
      <c r="I19" s="8" t="str">
        <f aca="false">IF(H19="","À définir",IF(G19&lt;H19,"Oui","Non"))</f>
        <v>À définir</v>
      </c>
      <c r="J19" s="9"/>
      <c r="K19" s="9"/>
    </row>
    <row r="20" customFormat="false" ht="15" hidden="false" customHeight="true" outlineLevel="0" collapsed="false">
      <c r="A20" s="7" t="s">
        <v>31</v>
      </c>
      <c r="B20" s="8" t="s">
        <v>24</v>
      </c>
      <c r="C20" s="9" t="n">
        <v>0</v>
      </c>
      <c r="D20" s="8" t="s">
        <v>20</v>
      </c>
      <c r="E20" s="9" t="n">
        <v>0</v>
      </c>
      <c r="F20" s="9" t="n">
        <v>0</v>
      </c>
      <c r="G20" s="6" t="n">
        <f aca="false">C20-E20-F20</f>
        <v>0</v>
      </c>
      <c r="H20" s="9"/>
      <c r="I20" s="8" t="str">
        <f aca="false">IF(H20="","À définir",IF(G20&lt;H20,"Oui","Non"))</f>
        <v>À définir</v>
      </c>
      <c r="J20" s="9"/>
      <c r="K20" s="9"/>
    </row>
    <row r="21" customFormat="false" ht="15" hidden="false" customHeight="true" outlineLevel="0" collapsed="false">
      <c r="A21" s="7" t="s">
        <v>32</v>
      </c>
      <c r="B21" s="8" t="s">
        <v>24</v>
      </c>
      <c r="C21" s="9" t="n">
        <v>0</v>
      </c>
      <c r="D21" s="8" t="s">
        <v>20</v>
      </c>
      <c r="E21" s="9" t="n">
        <v>0</v>
      </c>
      <c r="F21" s="9" t="n">
        <v>0</v>
      </c>
      <c r="G21" s="6" t="n">
        <f aca="false">C21-E21-F21</f>
        <v>0</v>
      </c>
      <c r="H21" s="9"/>
      <c r="I21" s="8" t="str">
        <f aca="false">IF(H21="","À définir",IF(G21&lt;H21,"Oui","Non"))</f>
        <v>À définir</v>
      </c>
      <c r="J21" s="9"/>
      <c r="K21" s="9"/>
    </row>
    <row r="22" customFormat="false" ht="15" hidden="false" customHeight="true" outlineLevel="0" collapsed="false">
      <c r="A22" s="7" t="s">
        <v>33</v>
      </c>
      <c r="B22" s="8" t="s">
        <v>24</v>
      </c>
      <c r="C22" s="9" t="n">
        <v>0</v>
      </c>
      <c r="D22" s="8" t="s">
        <v>20</v>
      </c>
      <c r="E22" s="9" t="n">
        <v>0</v>
      </c>
      <c r="F22" s="9" t="n">
        <v>0</v>
      </c>
      <c r="G22" s="6" t="n">
        <f aca="false">C22-E22-F22</f>
        <v>0</v>
      </c>
      <c r="H22" s="9"/>
      <c r="I22" s="8" t="str">
        <f aca="false">IF(H22="","À définir",IF(G22&lt;H22,"Oui","Non"))</f>
        <v>À définir</v>
      </c>
      <c r="J22" s="9"/>
      <c r="K22" s="9"/>
    </row>
    <row r="23" customFormat="false" ht="15" hidden="false" customHeight="true" outlineLevel="0" collapsed="false">
      <c r="A23" s="7" t="s">
        <v>34</v>
      </c>
      <c r="B23" s="8" t="s">
        <v>24</v>
      </c>
      <c r="C23" s="9" t="n">
        <v>0</v>
      </c>
      <c r="D23" s="8" t="s">
        <v>20</v>
      </c>
      <c r="E23" s="9" t="n">
        <v>0</v>
      </c>
      <c r="F23" s="9" t="n">
        <v>0</v>
      </c>
      <c r="G23" s="6" t="n">
        <f aca="false">C23-E23-F23</f>
        <v>0</v>
      </c>
      <c r="H23" s="9"/>
      <c r="I23" s="8" t="str">
        <f aca="false">IF(H23="","À définir",IF(G23&lt;H23,"Oui","Non"))</f>
        <v>À définir</v>
      </c>
      <c r="J23" s="9"/>
      <c r="K23" s="9"/>
    </row>
    <row r="24" customFormat="false" ht="13.8" hidden="false" customHeight="false" outlineLevel="0" collapsed="false"/>
    <row r="25" customFormat="false" ht="27.75" hidden="false" customHeight="true" outlineLevel="0" collapsed="false">
      <c r="A25" s="3" t="s">
        <v>35</v>
      </c>
      <c r="B25" s="3"/>
      <c r="C25" s="3"/>
      <c r="D25" s="3"/>
      <c r="E25" s="3"/>
      <c r="F25" s="3"/>
      <c r="G25" s="3"/>
      <c r="H25" s="3"/>
      <c r="I25" s="3"/>
      <c r="J25" s="3"/>
      <c r="K25" s="3"/>
    </row>
    <row r="26" customFormat="false" ht="42" hidden="false" customHeight="true" outlineLevel="0" collapsed="false">
      <c r="A26" s="3" t="s">
        <v>36</v>
      </c>
      <c r="B26" s="3"/>
      <c r="C26" s="3"/>
      <c r="D26" s="3"/>
      <c r="E26" s="3"/>
      <c r="F26" s="3"/>
      <c r="G26" s="3"/>
      <c r="H26" s="3"/>
      <c r="I26" s="3"/>
      <c r="J26" s="3"/>
      <c r="K26" s="3"/>
    </row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>
      <c r="A29" s="10" t="s">
        <v>37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</row>
    <row r="30" customFormat="false" ht="28.35" hidden="false" customHeight="false" outlineLevel="0" collapsed="false">
      <c r="A30" s="11" t="s">
        <v>38</v>
      </c>
      <c r="B30" s="11" t="s">
        <v>39</v>
      </c>
      <c r="C30" s="11" t="s">
        <v>40</v>
      </c>
      <c r="D30" s="11" t="s">
        <v>41</v>
      </c>
      <c r="E30" s="12"/>
      <c r="F30" s="13"/>
      <c r="G30" s="12"/>
      <c r="H30" s="13"/>
      <c r="I30" s="12"/>
      <c r="J30" s="13"/>
      <c r="K30" s="12"/>
    </row>
    <row r="31" customFormat="false" ht="28.35" hidden="false" customHeight="false" outlineLevel="0" collapsed="false">
      <c r="A31" s="14" t="s">
        <v>42</v>
      </c>
      <c r="B31" s="14" t="s">
        <v>43</v>
      </c>
      <c r="C31" s="14" t="s">
        <v>44</v>
      </c>
      <c r="D31" s="14" t="s">
        <v>45</v>
      </c>
    </row>
    <row r="32" customFormat="false" ht="68.65" hidden="false" customHeight="false" outlineLevel="0" collapsed="false">
      <c r="A32" s="14" t="s">
        <v>46</v>
      </c>
      <c r="B32" s="14" t="s">
        <v>47</v>
      </c>
      <c r="C32" s="14" t="s">
        <v>48</v>
      </c>
      <c r="D32" s="14" t="s">
        <v>49</v>
      </c>
    </row>
    <row r="33" customFormat="false" ht="28.35" hidden="false" customHeight="false" outlineLevel="0" collapsed="false">
      <c r="A33" s="14" t="s">
        <v>50</v>
      </c>
      <c r="B33" s="14" t="s">
        <v>51</v>
      </c>
      <c r="C33" s="14" t="s">
        <v>52</v>
      </c>
      <c r="D33" s="14" t="s">
        <v>44</v>
      </c>
    </row>
    <row r="34" customFormat="false" ht="41.75" hidden="false" customHeight="false" outlineLevel="0" collapsed="false">
      <c r="A34" s="14" t="s">
        <v>53</v>
      </c>
      <c r="B34" s="14" t="s">
        <v>54</v>
      </c>
      <c r="C34" s="14" t="s">
        <v>44</v>
      </c>
      <c r="D34" s="14" t="s">
        <v>55</v>
      </c>
    </row>
    <row r="35" customFormat="false" ht="13.8" hidden="false" customHeight="false" outlineLevel="0" collapsed="false"/>
    <row r="36" customFormat="false" ht="13.8" hidden="false" customHeight="false" outlineLevel="0" collapsed="false">
      <c r="A36" s="15" t="s">
        <v>56</v>
      </c>
    </row>
  </sheetData>
  <mergeCells count="5">
    <mergeCell ref="A1:K1"/>
    <mergeCell ref="A2:K2"/>
    <mergeCell ref="A25:K25"/>
    <mergeCell ref="A26:K26"/>
    <mergeCell ref="A29:K29"/>
  </mergeCells>
  <dataValidations count="1">
    <dataValidation allowBlank="true" errorStyle="stop" operator="equal" showDropDown="false" showErrorMessage="false" showInputMessage="false" sqref="K6:K23" type="list">
      <formula1>"Oui,Non"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65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A9" activeCellId="1" sqref="38:38 A9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50.86"/>
    <col collapsed="false" customWidth="true" hidden="false" outlineLevel="0" max="2" min="2" style="1" width="23.71"/>
    <col collapsed="false" customWidth="true" hidden="false" outlineLevel="0" max="3" min="3" style="1" width="15.42"/>
    <col collapsed="false" customWidth="true" hidden="false" outlineLevel="0" max="4" min="4" style="1" width="17"/>
    <col collapsed="false" customWidth="true" hidden="false" outlineLevel="0" max="5" min="5" style="1" width="17.86"/>
    <col collapsed="false" customWidth="true" hidden="false" outlineLevel="0" max="6" min="6" style="1" width="26"/>
    <col collapsed="false" customWidth="true" hidden="false" outlineLevel="0" max="7" min="7" style="1" width="13"/>
    <col collapsed="false" customWidth="true" hidden="false" outlineLevel="0" max="9" min="9" style="1" width="15"/>
    <col collapsed="false" customWidth="true" hidden="false" outlineLevel="0" max="10" min="10" style="1" width="11"/>
    <col collapsed="false" customWidth="true" hidden="false" outlineLevel="0" max="11" min="11" style="1" width="13"/>
    <col collapsed="false" customWidth="true" hidden="false" outlineLevel="0" max="13" min="13" style="1" width="15"/>
    <col collapsed="false" customWidth="true" hidden="false" outlineLevel="0" max="15" min="15" style="1" width="11"/>
    <col collapsed="false" customWidth="true" hidden="false" outlineLevel="0" max="16" min="16" style="1" width="13"/>
  </cols>
  <sheetData>
    <row r="1" customFormat="false" ht="19.5" hidden="false" customHeight="true" outlineLevel="0" collapsed="false">
      <c r="A1" s="2" t="s">
        <v>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customFormat="false" ht="13.8" hidden="false" customHeight="false" outlineLevel="0" collapsed="false"/>
    <row r="4" customFormat="false" ht="15" hidden="false" customHeight="true" outlineLevel="0" collapsed="false">
      <c r="A4" s="16" t="s">
        <v>58</v>
      </c>
      <c r="B4" s="17" t="n">
        <v>46265</v>
      </c>
      <c r="C4" s="18" t="s">
        <v>59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customFormat="false" ht="15" hidden="false" customHeight="true" outlineLevel="0" collapsed="false">
      <c r="A5" s="16" t="s">
        <v>60</v>
      </c>
      <c r="B5" s="17" t="n">
        <v>46267</v>
      </c>
      <c r="C5" s="17" t="n">
        <v>46274</v>
      </c>
      <c r="D5" s="17"/>
      <c r="E5" s="17"/>
      <c r="F5" s="17"/>
      <c r="G5" s="18" t="s">
        <v>61</v>
      </c>
      <c r="H5" s="18"/>
      <c r="I5" s="18"/>
      <c r="J5" s="18"/>
      <c r="K5" s="18"/>
      <c r="L5" s="18"/>
      <c r="M5" s="18"/>
      <c r="N5" s="18"/>
      <c r="O5" s="18"/>
      <c r="P5" s="18"/>
      <c r="Q5" s="18"/>
    </row>
    <row r="6" customFormat="false" ht="15" hidden="false" customHeight="true" outlineLevel="0" collapsed="false">
      <c r="A6" s="16" t="s">
        <v>62</v>
      </c>
      <c r="B6" s="19" t="s">
        <v>63</v>
      </c>
      <c r="C6" s="18" t="s">
        <v>59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customFormat="false" ht="13.8" hidden="false" customHeight="false" outlineLevel="0" collapsed="false"/>
    <row r="8" customFormat="false" ht="18" hidden="false" customHeight="true" outlineLevel="0" collapsed="false">
      <c r="A8" s="20" t="s">
        <v>64</v>
      </c>
    </row>
    <row r="9" s="13" customFormat="true" ht="40.5" hidden="false" customHeight="true" outlineLevel="0" collapsed="false">
      <c r="A9" s="21" t="s">
        <v>38</v>
      </c>
      <c r="B9" s="21" t="s">
        <v>65</v>
      </c>
      <c r="C9" s="21" t="s">
        <v>66</v>
      </c>
      <c r="D9" s="21" t="s">
        <v>67</v>
      </c>
      <c r="E9" s="21" t="s">
        <v>68</v>
      </c>
      <c r="F9" s="12"/>
      <c r="G9" s="12"/>
      <c r="I9" s="12"/>
      <c r="J9" s="12"/>
      <c r="K9" s="12"/>
      <c r="M9" s="12"/>
      <c r="O9" s="12"/>
      <c r="P9" s="12"/>
    </row>
    <row r="10" customFormat="false" ht="15" hidden="false" customHeight="true" outlineLevel="0" collapsed="false">
      <c r="A10" s="22" t="s">
        <v>69</v>
      </c>
      <c r="B10" s="23" t="n">
        <v>26</v>
      </c>
      <c r="C10" s="23" t="n">
        <v>180</v>
      </c>
      <c r="D10" s="24" t="n">
        <f aca="false">SUM($B$10:B10)</f>
        <v>26</v>
      </c>
      <c r="E10" s="25" t="n">
        <f aca="false">IF(A10="","",SUMPRODUCT(($A$10:A10&lt;&gt;"")*1))</f>
        <v>1</v>
      </c>
    </row>
    <row r="11" customFormat="false" ht="15" hidden="false" customHeight="true" outlineLevel="0" collapsed="false">
      <c r="A11" s="22" t="s">
        <v>70</v>
      </c>
      <c r="B11" s="23" t="n">
        <v>26</v>
      </c>
      <c r="C11" s="23" t="n">
        <v>180</v>
      </c>
      <c r="D11" s="24" t="n">
        <f aca="false">SUM($B$10:B11)</f>
        <v>52</v>
      </c>
      <c r="E11" s="25" t="n">
        <f aca="false">IF(A11="","",SUMPRODUCT(($A$10:A11&lt;&gt;"")*1))</f>
        <v>2</v>
      </c>
    </row>
    <row r="12" customFormat="false" ht="15" hidden="false" customHeight="true" outlineLevel="0" collapsed="false">
      <c r="A12" s="22" t="s">
        <v>71</v>
      </c>
      <c r="B12" s="23" t="n">
        <v>9</v>
      </c>
      <c r="C12" s="23" t="n">
        <v>150</v>
      </c>
      <c r="D12" s="24" t="n">
        <f aca="false">SUM($B$10:B12)</f>
        <v>61</v>
      </c>
      <c r="E12" s="25" t="n">
        <f aca="false">IF(A12="","",SUMPRODUCT(($A$10:A12&lt;&gt;"")*1))</f>
        <v>3</v>
      </c>
    </row>
    <row r="13" customFormat="false" ht="15" hidden="false" customHeight="true" outlineLevel="0" collapsed="false">
      <c r="A13" s="22" t="s">
        <v>72</v>
      </c>
      <c r="B13" s="23" t="n">
        <v>7</v>
      </c>
      <c r="C13" s="23" t="n">
        <v>150</v>
      </c>
      <c r="D13" s="24" t="n">
        <f aca="false">SUM($B$10:B13)</f>
        <v>68</v>
      </c>
      <c r="E13" s="25" t="n">
        <f aca="false">IF(A13="","",SUMPRODUCT(($A$10:A13&lt;&gt;"")*1))</f>
        <v>4</v>
      </c>
    </row>
    <row r="14" customFormat="false" ht="15" hidden="false" customHeight="true" outlineLevel="0" collapsed="false">
      <c r="A14" s="22" t="s">
        <v>50</v>
      </c>
      <c r="B14" s="23" t="n">
        <v>4</v>
      </c>
      <c r="C14" s="23" t="n">
        <v>180</v>
      </c>
      <c r="D14" s="24" t="n">
        <f aca="false">SUM($B$10:B14)</f>
        <v>72</v>
      </c>
      <c r="E14" s="25" t="n">
        <f aca="false">IF(A14="","",SUMPRODUCT(($A$10:A14&lt;&gt;"")*1))</f>
        <v>5</v>
      </c>
    </row>
    <row r="15" customFormat="false" ht="15" hidden="false" customHeight="true" outlineLevel="0" collapsed="false">
      <c r="A15" s="22" t="s">
        <v>53</v>
      </c>
      <c r="B15" s="23" t="n">
        <v>60</v>
      </c>
      <c r="C15" s="23" t="n">
        <v>90</v>
      </c>
      <c r="D15" s="24" t="n">
        <f aca="false">SUM($B$10:B15)</f>
        <v>132</v>
      </c>
      <c r="E15" s="25" t="n">
        <f aca="false">IF(A15="","",SUMPRODUCT(($A$10:A15&lt;&gt;"")*1))</f>
        <v>6</v>
      </c>
    </row>
    <row r="16" customFormat="false" ht="15" hidden="false" customHeight="true" outlineLevel="0" collapsed="false">
      <c r="A16" s="22" t="s">
        <v>73</v>
      </c>
      <c r="B16" s="23" t="n">
        <v>2</v>
      </c>
      <c r="C16" s="23" t="n">
        <v>180</v>
      </c>
      <c r="D16" s="24" t="n">
        <f aca="false">SUM($B$10:B16)</f>
        <v>134</v>
      </c>
      <c r="E16" s="25" t="n">
        <f aca="false">IF(A16="","",SUMPRODUCT(($A$10:A16&lt;&gt;"")*1))</f>
        <v>7</v>
      </c>
    </row>
    <row r="17" customFormat="false" ht="15" hidden="false" customHeight="true" outlineLevel="0" collapsed="false">
      <c r="A17" s="22" t="s">
        <v>74</v>
      </c>
      <c r="B17" s="23" t="n">
        <v>4</v>
      </c>
      <c r="C17" s="23" t="n">
        <v>150</v>
      </c>
      <c r="D17" s="24" t="n">
        <f aca="false">SUM($B$10:B17)</f>
        <v>138</v>
      </c>
      <c r="E17" s="25" t="n">
        <f aca="false">IF(A17="","",SUMPRODUCT(($A$10:A17&lt;&gt;"")*1))</f>
        <v>8</v>
      </c>
    </row>
    <row r="18" customFormat="false" ht="15" hidden="false" customHeight="true" outlineLevel="0" collapsed="false">
      <c r="A18" s="22" t="s">
        <v>75</v>
      </c>
      <c r="B18" s="23" t="n">
        <v>6</v>
      </c>
      <c r="C18" s="23" t="n">
        <v>150</v>
      </c>
      <c r="D18" s="24" t="n">
        <f aca="false">SUM($B$10:B18)</f>
        <v>144</v>
      </c>
      <c r="E18" s="25" t="n">
        <f aca="false">IF(A18="","",SUMPRODUCT(($A$10:A18&lt;&gt;"")*1))</f>
        <v>9</v>
      </c>
    </row>
    <row r="19" customFormat="false" ht="15" hidden="false" customHeight="true" outlineLevel="0" collapsed="false">
      <c r="A19" s="22" t="s">
        <v>76</v>
      </c>
      <c r="B19" s="23" t="n">
        <v>4</v>
      </c>
      <c r="C19" s="23" t="n">
        <v>150</v>
      </c>
      <c r="D19" s="24" t="n">
        <f aca="false">SUM($B$10:B19)</f>
        <v>148</v>
      </c>
      <c r="E19" s="25" t="n">
        <f aca="false">IF(A19="","",SUMPRODUCT(($A$10:A19&lt;&gt;"")*1))</f>
        <v>10</v>
      </c>
    </row>
    <row r="20" customFormat="false" ht="15" hidden="false" customHeight="true" outlineLevel="0" collapsed="false">
      <c r="A20" s="22" t="s">
        <v>77</v>
      </c>
      <c r="B20" s="23" t="n">
        <v>11</v>
      </c>
      <c r="C20" s="23" t="n">
        <v>30</v>
      </c>
      <c r="D20" s="24" t="n">
        <f aca="false">SUM($B$10:B20)</f>
        <v>159</v>
      </c>
      <c r="E20" s="25" t="n">
        <f aca="false">IF(A20="","",SUMPRODUCT(($A$10:A20&lt;&gt;"")*1))</f>
        <v>11</v>
      </c>
    </row>
    <row r="21" customFormat="false" ht="15" hidden="false" customHeight="true" outlineLevel="0" collapsed="false">
      <c r="A21" s="22" t="s">
        <v>78</v>
      </c>
      <c r="B21" s="23" t="n">
        <v>16</v>
      </c>
      <c r="C21" s="23" t="n">
        <v>30</v>
      </c>
      <c r="D21" s="24" t="n">
        <f aca="false">SUM($B$10:B21)</f>
        <v>175</v>
      </c>
      <c r="E21" s="25" t="n">
        <f aca="false">IF(A21="","",SUMPRODUCT(($A$10:A21&lt;&gt;"")*1))</f>
        <v>12</v>
      </c>
    </row>
    <row r="22" customFormat="false" ht="15" hidden="false" customHeight="true" outlineLevel="0" collapsed="false">
      <c r="A22" s="22" t="s">
        <v>79</v>
      </c>
      <c r="B22" s="23" t="n">
        <v>6</v>
      </c>
      <c r="C22" s="23" t="n">
        <v>30</v>
      </c>
      <c r="D22" s="24" t="n">
        <f aca="false">SUM($B$10:B22)</f>
        <v>181</v>
      </c>
      <c r="E22" s="25" t="n">
        <f aca="false">IF(A22="","",SUMPRODUCT(($A$10:A22&lt;&gt;"")*1))</f>
        <v>13</v>
      </c>
    </row>
    <row r="23" customFormat="false" ht="15" hidden="false" customHeight="true" outlineLevel="0" collapsed="false">
      <c r="A23" s="22" t="s">
        <v>80</v>
      </c>
      <c r="B23" s="23" t="n">
        <v>6</v>
      </c>
      <c r="C23" s="23" t="n">
        <v>30</v>
      </c>
      <c r="D23" s="24" t="n">
        <f aca="false">SUM($B$10:B23)</f>
        <v>187</v>
      </c>
      <c r="E23" s="25" t="n">
        <f aca="false">IF(A23="","",SUMPRODUCT(($A$10:A23&lt;&gt;"")*1))</f>
        <v>14</v>
      </c>
    </row>
    <row r="24" customFormat="false" ht="15" hidden="false" customHeight="true" outlineLevel="0" collapsed="false">
      <c r="A24" s="22" t="s">
        <v>81</v>
      </c>
      <c r="B24" s="23" t="n">
        <v>6</v>
      </c>
      <c r="C24" s="23" t="n">
        <v>30</v>
      </c>
      <c r="D24" s="24" t="n">
        <f aca="false">SUM($B$10:B24)</f>
        <v>193</v>
      </c>
      <c r="E24" s="25" t="n">
        <f aca="false">IF(A24="","",SUMPRODUCT(($A$10:A24&lt;&gt;"")*1))</f>
        <v>15</v>
      </c>
    </row>
    <row r="25" customFormat="false" ht="15" hidden="false" customHeight="true" outlineLevel="0" collapsed="false">
      <c r="A25" s="22" t="s">
        <v>82</v>
      </c>
      <c r="B25" s="23" t="n">
        <v>6</v>
      </c>
      <c r="C25" s="23" t="n">
        <v>30</v>
      </c>
      <c r="D25" s="24" t="n">
        <f aca="false">SUM($B$10:B25)</f>
        <v>199</v>
      </c>
      <c r="E25" s="25" t="n">
        <f aca="false">IF(A25="","",SUMPRODUCT(($A$10:A25&lt;&gt;"")*1))</f>
        <v>16</v>
      </c>
    </row>
    <row r="26" customFormat="false" ht="13.8" hidden="false" customHeight="false" outlineLevel="0" collapsed="false"/>
    <row r="27" customFormat="false" ht="15" hidden="false" customHeight="true" outlineLevel="0" collapsed="false">
      <c r="A27" s="16" t="s">
        <v>83</v>
      </c>
      <c r="B27" s="26" t="n">
        <f aca="false">SUM($B$10:$B$25)</f>
        <v>199</v>
      </c>
    </row>
    <row r="28" customFormat="false" ht="27.75" hidden="false" customHeight="true" outlineLevel="0" collapsed="false">
      <c r="A28" s="3" t="s">
        <v>84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customFormat="false" ht="42" hidden="false" customHeight="true" outlineLevel="0" collapsed="false">
      <c r="A29" s="3" t="s">
        <v>85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customFormat="false" ht="13.8" hidden="false" customHeight="false" outlineLevel="0" collapsed="false"/>
    <row r="31" customFormat="false" ht="18" hidden="false" customHeight="true" outlineLevel="0" collapsed="false">
      <c r="A31" s="27" t="s">
        <v>86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</row>
    <row r="32" customFormat="false" ht="27" hidden="false" customHeight="true" outlineLevel="0" collapsed="false">
      <c r="A32" s="28" t="s">
        <v>87</v>
      </c>
      <c r="B32" s="28" t="s">
        <v>88</v>
      </c>
      <c r="C32" s="28" t="s">
        <v>89</v>
      </c>
      <c r="D32" s="28" t="s">
        <v>90</v>
      </c>
      <c r="E32" s="28" t="s">
        <v>91</v>
      </c>
    </row>
    <row r="33" customFormat="false" ht="15" hidden="false" customHeight="true" outlineLevel="0" collapsed="false">
      <c r="A33" s="22" t="s">
        <v>92</v>
      </c>
      <c r="B33" s="24" t="s">
        <v>93</v>
      </c>
      <c r="C33" s="26" t="n">
        <f aca="false">SUMPRODUCT(($C$66:$C$365&lt;TotalStations)*1)</f>
        <v>197</v>
      </c>
      <c r="D33" s="26" t="n">
        <f aca="false">IFERROR(ROUND((E33-$B$4)/30,1),"")</f>
        <v>9.1</v>
      </c>
      <c r="E33" s="29" t="n">
        <f aca="false">IFERROR(INDEX($A$66:$A$365,SUMPRODUCT(($C$66:$C$365&lt;TotalStations)*1)),"Hors plage (étendre le calendrier)")</f>
        <v>46539</v>
      </c>
    </row>
    <row r="34" customFormat="false" ht="15" hidden="false" customHeight="true" outlineLevel="0" collapsed="false">
      <c r="A34" s="22" t="s">
        <v>63</v>
      </c>
      <c r="B34" s="24" t="s">
        <v>94</v>
      </c>
      <c r="C34" s="26" t="n">
        <f aca="false">SUMPRODUCT(($H$66:$H$365&lt;TotalStations)*1)</f>
        <v>100</v>
      </c>
      <c r="D34" s="26" t="n">
        <f aca="false">IFERROR(ROUND((E34-$B$4)/30,1),"")</f>
        <v>4.6</v>
      </c>
      <c r="E34" s="29" t="n">
        <f aca="false">IFERROR(INDEX($A$66:$A$365,SUMPRODUCT(($H$66:$H$365&lt;TotalStations)*1)),"Hors plage (étendre le calendrier)")</f>
        <v>46402</v>
      </c>
    </row>
    <row r="35" customFormat="false" ht="15" hidden="false" customHeight="true" outlineLevel="0" collapsed="false">
      <c r="A35" s="22" t="s">
        <v>95</v>
      </c>
      <c r="B35" s="24" t="s">
        <v>96</v>
      </c>
      <c r="C35" s="26" t="n">
        <f aca="false">SUMPRODUCT(($M$66:$M$365&lt;TotalStations)*1)</f>
        <v>63</v>
      </c>
      <c r="D35" s="26" t="n">
        <f aca="false">IFERROR(ROUND((E35-$B$4)/30,1),"")</f>
        <v>2.9</v>
      </c>
      <c r="E35" s="29" t="n">
        <f aca="false">IFERROR(INDEX($A$66:$A$365,SUMPRODUCT(($M$66:$M$365&lt;TotalStations)*1)),"Hors plage (étendre le calendrier)")</f>
        <v>46351</v>
      </c>
    </row>
    <row r="36" customFormat="false" ht="13.8" hidden="false" customHeight="false" outlineLevel="0" collapsed="false"/>
    <row r="37" customFormat="false" ht="21.75" hidden="false" customHeight="true" outlineLevel="0" collapsed="false">
      <c r="A37" s="27" t="s">
        <v>97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</row>
    <row r="38" s="13" customFormat="true" ht="36.75" hidden="false" customHeight="true" outlineLevel="0" collapsed="false">
      <c r="A38" s="21" t="s">
        <v>38</v>
      </c>
      <c r="B38" s="21" t="s">
        <v>65</v>
      </c>
      <c r="C38" s="21" t="s">
        <v>66</v>
      </c>
      <c r="D38" s="21" t="s">
        <v>98</v>
      </c>
      <c r="E38" s="21" t="s">
        <v>99</v>
      </c>
      <c r="F38" s="21" t="s">
        <v>100</v>
      </c>
      <c r="G38" s="12"/>
      <c r="I38" s="12"/>
      <c r="J38" s="12"/>
      <c r="K38" s="12"/>
      <c r="M38" s="12"/>
      <c r="O38" s="12"/>
      <c r="P38" s="12"/>
    </row>
    <row r="39" customFormat="false" ht="15" hidden="false" customHeight="true" outlineLevel="0" collapsed="false">
      <c r="A39" s="22" t="str">
        <f aca="false">IF(A10="","",A10)</f>
        <v>Single 1</v>
      </c>
      <c r="B39" s="24" t="n">
        <f aca="false">IF(A10="","",B10)</f>
        <v>26</v>
      </c>
      <c r="C39" s="24" t="n">
        <f aca="false">IF(A10="","",C10)</f>
        <v>180</v>
      </c>
      <c r="D39" s="30" t="n">
        <f aca="false">IF(A39="","",IFERROR(INDEX($A$66:$A$365,SUMPRODUCT(($C$66:$C$365&lt;D10)*1)),"Hors plage"))</f>
        <v>46296</v>
      </c>
      <c r="E39" s="30" t="n">
        <f aca="false">IF(A39="","",IFERROR(INDEX($A$66:$A$365,SUMPRODUCT(($H$66:$H$365&lt;D10)*1)),"Hors plage"))</f>
        <v>46281</v>
      </c>
      <c r="F39" s="30" t="n">
        <f aca="false">IF(A39="","",IFERROR(INDEX($A$66:$A$365,SUMPRODUCT(($M$66:$M$365&lt;D10)*1)),"Hors plage"))</f>
        <v>46281</v>
      </c>
    </row>
    <row r="40" customFormat="false" ht="15" hidden="false" customHeight="true" outlineLevel="0" collapsed="false">
      <c r="A40" s="22" t="str">
        <f aca="false">IF(A11="","",A11)</f>
        <v>Single 2</v>
      </c>
      <c r="B40" s="24" t="n">
        <f aca="false">IF(A11="","",B11)</f>
        <v>26</v>
      </c>
      <c r="C40" s="24" t="n">
        <f aca="false">IF(A11="","",C11)</f>
        <v>180</v>
      </c>
      <c r="D40" s="30" t="n">
        <f aca="false">IF(A40="","",IFERROR(INDEX($A$66:$A$365,SUMPRODUCT(($C$66:$C$365&lt;D11)*1)),"Hors plage"))</f>
        <v>46332</v>
      </c>
      <c r="E40" s="30" t="n">
        <f aca="false">IF(A40="","",IFERROR(INDEX($A$66:$A$365,SUMPRODUCT(($H$66:$H$365&lt;D11)*1)),"Hors plage"))</f>
        <v>46300</v>
      </c>
      <c r="F40" s="30" t="n">
        <f aca="false">IF(A40="","",IFERROR(INDEX($A$66:$A$365,SUMPRODUCT(($M$66:$M$365&lt;D11)*1)),"Hors plage"))</f>
        <v>46300</v>
      </c>
    </row>
    <row r="41" customFormat="false" ht="15" hidden="false" customHeight="true" outlineLevel="0" collapsed="false">
      <c r="A41" s="22" t="str">
        <f aca="false">IF(A12="","",A12)</f>
        <v>PCNS 1</v>
      </c>
      <c r="B41" s="24" t="n">
        <f aca="false">IF(A12="","",B12)</f>
        <v>9</v>
      </c>
      <c r="C41" s="24" t="n">
        <f aca="false">IF(A12="","",C12)</f>
        <v>150</v>
      </c>
      <c r="D41" s="30" t="n">
        <f aca="false">IF(A41="","",IFERROR(INDEX($A$66:$A$365,SUMPRODUCT(($C$66:$C$365&lt;D12)*1)),"Hors plage"))</f>
        <v>46345</v>
      </c>
      <c r="E41" s="30" t="n">
        <f aca="false">IF(A41="","",IFERROR(INDEX($A$66:$A$365,SUMPRODUCT(($H$66:$H$365&lt;D12)*1)),"Hors plage"))</f>
        <v>46307</v>
      </c>
      <c r="F41" s="30" t="n">
        <f aca="false">IF(A41="","",IFERROR(INDEX($A$66:$A$365,SUMPRODUCT(($M$66:$M$365&lt;D12)*1)),"Hors plage"))</f>
        <v>46307</v>
      </c>
    </row>
    <row r="42" customFormat="false" ht="15" hidden="false" customHeight="true" outlineLevel="0" collapsed="false">
      <c r="A42" s="22" t="str">
        <f aca="false">IF(A13="","",A13)</f>
        <v>PCNS 2</v>
      </c>
      <c r="B42" s="24" t="n">
        <f aca="false">IF(A13="","",B13)</f>
        <v>7</v>
      </c>
      <c r="C42" s="24" t="n">
        <f aca="false">IF(A13="","",C13)</f>
        <v>150</v>
      </c>
      <c r="D42" s="30" t="n">
        <f aca="false">IF(A42="","",IFERROR(INDEX($A$66:$A$365,SUMPRODUCT(($C$66:$C$365&lt;D13)*1)),"Hors plage"))</f>
        <v>46356</v>
      </c>
      <c r="E42" s="30" t="str">
        <f aca="false" t="array" ref="E42:E42">IF(A42="","",IFERROR(_xlfn.single(INDEX($A$66:$A$365,SUMPRODUCT(($H$66:$H$365&lt;D13)*1))),"Hors plage"))</f>
        <v>Hors plage</v>
      </c>
      <c r="F42" s="30" t="n">
        <f aca="false">IF(A42="","",IFERROR(INDEX($A$66:$A$365,SUMPRODUCT(($M$66:$M$365&lt;D13)*1)),"Hors plage"))</f>
        <v>46310</v>
      </c>
    </row>
    <row r="43" customFormat="false" ht="15" hidden="false" customHeight="true" outlineLevel="0" collapsed="false">
      <c r="A43" s="22" t="str">
        <f aca="false">IF(A14="","",A14)</f>
        <v>KO</v>
      </c>
      <c r="B43" s="24" t="n">
        <f aca="false">IF(A14="","",B14)</f>
        <v>4</v>
      </c>
      <c r="C43" s="24" t="n">
        <f aca="false">IF(A14="","",C14)</f>
        <v>180</v>
      </c>
      <c r="D43" s="30" t="n">
        <f aca="false">IF(A43="","",IFERROR(INDEX($A$66:$A$365,SUMPRODUCT(($C$66:$C$365&lt;D14)*1)),"Hors plage"))</f>
        <v>46360</v>
      </c>
      <c r="E43" s="30" t="n">
        <f aca="false">IF(A43="","",IFERROR(INDEX($A$66:$A$365,SUMPRODUCT(($H$66:$H$365&lt;D14)*1)),"Hors plage"))</f>
        <v>46314</v>
      </c>
      <c r="F43" s="30" t="n">
        <f aca="false">IF(A43="","",IFERROR(INDEX($A$66:$A$365,SUMPRODUCT(($M$66:$M$365&lt;D14)*1)),"Hors plage"))</f>
        <v>46314</v>
      </c>
    </row>
    <row r="44" customFormat="false" ht="15" hidden="false" customHeight="true" outlineLevel="0" collapsed="false">
      <c r="A44" s="22" t="str">
        <f aca="false">IF(A15="","",A15)</f>
        <v>P2R</v>
      </c>
      <c r="B44" s="24" t="n">
        <f aca="false">IF(A15="","",B15)</f>
        <v>60</v>
      </c>
      <c r="C44" s="24" t="n">
        <f aca="false">IF(A15="","",C15)</f>
        <v>90</v>
      </c>
      <c r="D44" s="30" t="n">
        <f aca="false">IF(A44="","",IFERROR(INDEX($A$66:$A$365,SUMPRODUCT(($C$66:$C$365&lt;D15)*1)),"Hors plage"))</f>
        <v>46444</v>
      </c>
      <c r="E44" s="30" t="n">
        <f aca="false">IF(A44="","",IFERROR(INDEX($A$66:$A$365,SUMPRODUCT(($H$66:$H$365&lt;D15)*1)),"Hors plage"))</f>
        <v>46356</v>
      </c>
      <c r="F44" s="30" t="n">
        <f aca="false">IF(A44="","",IFERROR(INDEX($A$66:$A$365,SUMPRODUCT(($M$66:$M$365&lt;D15)*1)),"Hors plage"))</f>
        <v>46335</v>
      </c>
    </row>
    <row r="45" customFormat="false" ht="15" hidden="false" customHeight="true" outlineLevel="0" collapsed="false">
      <c r="A45" s="22" t="str">
        <f aca="false">IF(A16="","",A16)</f>
        <v>Jackpot</v>
      </c>
      <c r="B45" s="24" t="n">
        <f aca="false">IF(A16="","",B16)</f>
        <v>2</v>
      </c>
      <c r="C45" s="24" t="n">
        <f aca="false">IF(A16="","",C16)</f>
        <v>180</v>
      </c>
      <c r="D45" s="30" t="n">
        <f aca="false">IF(A45="","",IFERROR(INDEX($A$66:$A$365,SUMPRODUCT(($C$66:$C$365&lt;D16)*1)),"Hors plage"))</f>
        <v>46448</v>
      </c>
      <c r="E45" s="30" t="n">
        <f aca="false">IF(A45="","",IFERROR(INDEX($A$66:$A$365,SUMPRODUCT(($H$66:$H$365&lt;D16)*1)),"Hors plage"))</f>
        <v>46357</v>
      </c>
      <c r="F45" s="30" t="n">
        <f aca="false">IF(A45="","",IFERROR(INDEX($A$66:$A$365,SUMPRODUCT(($M$66:$M$365&lt;D16)*1)),"Hors plage"))</f>
        <v>46336</v>
      </c>
    </row>
    <row r="46" customFormat="false" ht="15" hidden="false" customHeight="true" outlineLevel="0" collapsed="false">
      <c r="A46" s="22" t="str">
        <f aca="false">IF(A17="","",A17)</f>
        <v>VRET</v>
      </c>
      <c r="B46" s="24" t="n">
        <f aca="false">IF(A17="","",B17)</f>
        <v>4</v>
      </c>
      <c r="C46" s="24" t="n">
        <f aca="false">IF(A17="","",C17)</f>
        <v>150</v>
      </c>
      <c r="D46" s="30" t="n">
        <f aca="false">IF(A46="","",IFERROR(INDEX($A$66:$A$365,SUMPRODUCT(($C$66:$C$365&lt;D17)*1)),"Hors plage"))</f>
        <v>46454</v>
      </c>
      <c r="E46" s="30" t="n">
        <f aca="false">IF(A46="","",IFERROR(INDEX($A$66:$A$365,SUMPRODUCT(($H$66:$H$365&lt;D17)*1)),"Hors plage"))</f>
        <v>46359</v>
      </c>
      <c r="F46" s="30" t="n">
        <f aca="false">IF(A46="","",IFERROR(INDEX($A$66:$A$365,SUMPRODUCT(($M$66:$M$365&lt;D17)*1)),"Hors plage"))</f>
        <v>46338</v>
      </c>
    </row>
    <row r="47" customFormat="false" ht="15" hidden="false" customHeight="true" outlineLevel="0" collapsed="false">
      <c r="A47" s="22" t="str">
        <f aca="false">IF(A18="","",A18)</f>
        <v>GiftWrap</v>
      </c>
      <c r="B47" s="24" t="n">
        <f aca="false">IF(A18="","",B18)</f>
        <v>6</v>
      </c>
      <c r="C47" s="24" t="n">
        <f aca="false">IF(A18="","",C18)</f>
        <v>150</v>
      </c>
      <c r="D47" s="30" t="n">
        <f aca="false">IF(A47="","",IFERROR(INDEX($A$66:$A$365,SUMPRODUCT(($C$66:$C$365&lt;D18)*1)),"Hors plage"))</f>
        <v>46462</v>
      </c>
      <c r="E47" s="30" t="n">
        <f aca="false">IF(A47="","",IFERROR(INDEX($A$66:$A$365,SUMPRODUCT(($H$66:$H$365&lt;D18)*1)),"Hors plage"))</f>
        <v>46364</v>
      </c>
      <c r="F47" s="30" t="n">
        <f aca="false">IF(A47="","",IFERROR(INDEX($A$66:$A$365,SUMPRODUCT(($M$66:$M$365&lt;D18)*1)),"Hors plage"))</f>
        <v>46343</v>
      </c>
    </row>
    <row r="48" customFormat="false" ht="15" hidden="false" customHeight="true" outlineLevel="0" collapsed="false">
      <c r="A48" s="22" t="str">
        <f aca="false">IF(A19="","",A19)</f>
        <v>Problem Solve</v>
      </c>
      <c r="B48" s="24" t="n">
        <f aca="false">IF(A19="","",B19)</f>
        <v>4</v>
      </c>
      <c r="C48" s="24" t="n">
        <f aca="false">IF(A19="","",C19)</f>
        <v>150</v>
      </c>
      <c r="D48" s="30" t="n">
        <f aca="false">IF(A48="","",IFERROR(INDEX($A$66:$A$365,SUMPRODUCT(($C$66:$C$365&lt;D19)*1)),"Hors plage"))</f>
        <v>46468</v>
      </c>
      <c r="E48" s="30" t="n">
        <f aca="false">IF(A48="","",IFERROR(INDEX($A$66:$A$365,SUMPRODUCT(($H$66:$H$365&lt;D19)*1)),"Hors plage"))</f>
        <v>46366</v>
      </c>
      <c r="F48" s="30" t="n">
        <f aca="false">IF(A48="","",IFERROR(INDEX($A$66:$A$365,SUMPRODUCT(($M$66:$M$365&lt;D19)*1)),"Hors plage"))</f>
        <v>46345</v>
      </c>
    </row>
    <row r="49" customFormat="false" ht="15" hidden="false" customHeight="true" outlineLevel="0" collapsed="false">
      <c r="A49" s="22" t="str">
        <f aca="false">IF(A20="","",A20)</f>
        <v>Shipping</v>
      </c>
      <c r="B49" s="24" t="n">
        <f aca="false">IF(A20="","",B20)</f>
        <v>11</v>
      </c>
      <c r="C49" s="24" t="n">
        <f aca="false">IF(A20="","",C20)</f>
        <v>30</v>
      </c>
      <c r="D49" s="30" t="n">
        <f aca="false">IF(A49="","",IFERROR(INDEX($A$66:$A$365,SUMPRODUCT(($C$66:$C$365&lt;D20)*1)),"Hors plage"))</f>
        <v>46483</v>
      </c>
      <c r="E49" s="30" t="n">
        <f aca="false">IF(A49="","",IFERROR(INDEX($A$66:$A$365,SUMPRODUCT(($H$66:$H$365&lt;D20)*1)),"Hors plage"))</f>
        <v>46374</v>
      </c>
      <c r="F49" s="30" t="n">
        <f aca="false">IF(A49="","",IFERROR(INDEX($A$66:$A$365,SUMPRODUCT(($M$66:$M$365&lt;D20)*1)),"Hors plage"))</f>
        <v>46346</v>
      </c>
    </row>
    <row r="50" customFormat="false" ht="15" hidden="false" customHeight="true" outlineLevel="0" collapsed="false">
      <c r="A50" s="22" t="str">
        <f aca="false">IF(A21="","",A21)</f>
        <v>XLI4 Receive 3</v>
      </c>
      <c r="B50" s="24" t="n">
        <f aca="false">IF(A21="","",B21)</f>
        <v>16</v>
      </c>
      <c r="C50" s="24" t="n">
        <f aca="false">IF(A21="","",C21)</f>
        <v>30</v>
      </c>
      <c r="D50" s="30" t="n">
        <f aca="false">IF(A50="","",IFERROR(INDEX($A$66:$A$365,SUMPRODUCT(($C$66:$C$365&lt;D21)*1)),"Hors plage"))</f>
        <v>46505</v>
      </c>
      <c r="E50" s="30" t="n">
        <f aca="false">IF(A50="","",IFERROR(INDEX($A$66:$A$365,SUMPRODUCT(($H$66:$H$365&lt;D21)*1)),"Hors plage"))</f>
        <v>46386</v>
      </c>
      <c r="F50" s="30" t="n">
        <f aca="false">IF(A50="","",IFERROR(INDEX($A$66:$A$365,SUMPRODUCT(($M$66:$M$365&lt;D21)*1)),"Hors plage"))</f>
        <v>46349</v>
      </c>
    </row>
    <row r="51" customFormat="false" ht="15" hidden="false" customHeight="true" outlineLevel="0" collapsed="false">
      <c r="A51" s="22" t="str">
        <f aca="false">IF(A22="","",A22)</f>
        <v>XLI4 Receive 1</v>
      </c>
      <c r="B51" s="24" t="n">
        <f aca="false">IF(A22="","",B22)</f>
        <v>6</v>
      </c>
      <c r="C51" s="24" t="n">
        <f aca="false">IF(A22="","",C22)</f>
        <v>30</v>
      </c>
      <c r="D51" s="30" t="n">
        <f aca="false">IF(A51="","",IFERROR(INDEX($A$66:$A$365,SUMPRODUCT(($C$66:$C$365&lt;D22)*1)),"Hors plage"))</f>
        <v>46513</v>
      </c>
      <c r="E51" s="30" t="n">
        <f aca="false">IF(A51="","",IFERROR(INDEX($A$66:$A$365,SUMPRODUCT(($H$66:$H$365&lt;D22)*1)),"Hors plage"))</f>
        <v>46391</v>
      </c>
      <c r="F51" s="30" t="n">
        <f aca="false">IF(A51="","",IFERROR(INDEX($A$66:$A$365,SUMPRODUCT(($M$66:$M$365&lt;D22)*1)),"Hors plage"))</f>
        <v>46350</v>
      </c>
    </row>
    <row r="52" customFormat="false" ht="15" hidden="false" customHeight="true" outlineLevel="0" collapsed="false">
      <c r="A52" s="22" t="str">
        <f aca="false">IF(A23="","",A23)</f>
        <v>XLI4 Receive 2</v>
      </c>
      <c r="B52" s="24" t="n">
        <f aca="false">IF(A23="","",B23)</f>
        <v>6</v>
      </c>
      <c r="C52" s="24" t="n">
        <f aca="false">IF(A23="","",C23)</f>
        <v>30</v>
      </c>
      <c r="D52" s="30" t="n">
        <f aca="false">IF(A52="","",IFERROR(INDEX($A$66:$A$365,SUMPRODUCT(($C$66:$C$365&lt;D23)*1)),"Hors plage"))</f>
        <v>46521</v>
      </c>
      <c r="E52" s="30" t="n">
        <f aca="false">IF(A52="","",IFERROR(INDEX($A$66:$A$365,SUMPRODUCT(($H$66:$H$365&lt;D23)*1)),"Hors plage"))</f>
        <v>46394</v>
      </c>
      <c r="F52" s="30" t="n">
        <f aca="false">IF(A52="","",IFERROR(INDEX($A$66:$A$365,SUMPRODUCT(($M$66:$M$365&lt;D23)*1)),"Hors plage"))</f>
        <v>46350</v>
      </c>
    </row>
    <row r="53" customFormat="false" ht="15" hidden="false" customHeight="true" outlineLevel="0" collapsed="false">
      <c r="A53" s="22" t="str">
        <f aca="false">IF(A24="","",A24)</f>
        <v>XLI4 Sort 1</v>
      </c>
      <c r="B53" s="24" t="n">
        <f aca="false">IF(A24="","",B24)</f>
        <v>6</v>
      </c>
      <c r="C53" s="24" t="n">
        <f aca="false">IF(A24="","",C24)</f>
        <v>30</v>
      </c>
      <c r="D53" s="30" t="n">
        <f aca="false">IF(A53="","",IFERROR(INDEX($A$66:$A$365,SUMPRODUCT(($C$66:$C$365&lt;D24)*1)),"Hors plage"))</f>
        <v>46531</v>
      </c>
      <c r="E53" s="30" t="n">
        <f aca="false">IF(A53="","",IFERROR(INDEX($A$66:$A$365,SUMPRODUCT(($H$66:$H$365&lt;D24)*1)),"Hors plage"))</f>
        <v>46399</v>
      </c>
      <c r="F53" s="30" t="n">
        <f aca="false">IF(A53="","",IFERROR(INDEX($A$66:$A$365,SUMPRODUCT(($M$66:$M$365&lt;D24)*1)),"Hors plage"))</f>
        <v>46351</v>
      </c>
    </row>
    <row r="54" customFormat="false" ht="15" hidden="false" customHeight="true" outlineLevel="0" collapsed="false">
      <c r="A54" s="22" t="str">
        <f aca="false">IF(A25="","",A25)</f>
        <v>XLI4 Sort 2</v>
      </c>
      <c r="B54" s="24" t="n">
        <f aca="false">IF(A25="","",B25)</f>
        <v>6</v>
      </c>
      <c r="C54" s="24" t="n">
        <f aca="false">IF(A25="","",C25)</f>
        <v>30</v>
      </c>
      <c r="D54" s="30" t="n">
        <f aca="false">IF(A54="","",IFERROR(INDEX($A$66:$A$365,SUMPRODUCT(($C$66:$C$365&lt;D25)*1)),"Hors plage"))</f>
        <v>46539</v>
      </c>
      <c r="E54" s="30" t="n">
        <f aca="false">IF(A54="","",IFERROR(INDEX($A$66:$A$365,SUMPRODUCT(($H$66:$H$365&lt;D25)*1)),"Hors plage"))</f>
        <v>46402</v>
      </c>
      <c r="F54" s="30" t="n">
        <f aca="false">IF(A54="","",IFERROR(INDEX($A$66:$A$365,SUMPRODUCT(($M$66:$M$365&lt;D25)*1)),"Hors plage"))</f>
        <v>46351</v>
      </c>
    </row>
    <row r="55" customFormat="false" ht="13.8" hidden="false" customHeight="false" outlineLevel="0" collapsed="false"/>
    <row r="56" customFormat="false" ht="18" hidden="false" customHeight="true" outlineLevel="0" collapsed="false">
      <c r="A56" s="27" t="s">
        <v>101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</row>
    <row r="57" s="13" customFormat="true" ht="18" hidden="false" customHeight="true" outlineLevel="0" collapsed="false">
      <c r="A57" s="21" t="s">
        <v>102</v>
      </c>
      <c r="B57" s="31" t="s">
        <v>103</v>
      </c>
      <c r="C57" s="12"/>
      <c r="D57" s="12"/>
      <c r="E57" s="12"/>
      <c r="F57" s="12"/>
      <c r="G57" s="12"/>
      <c r="I57" s="12"/>
      <c r="J57" s="12"/>
      <c r="K57" s="12"/>
      <c r="M57" s="12"/>
      <c r="O57" s="12"/>
      <c r="P57" s="12"/>
    </row>
    <row r="58" customFormat="false" ht="15" hidden="false" customHeight="true" outlineLevel="0" collapsed="false">
      <c r="A58" s="32" t="s">
        <v>104</v>
      </c>
      <c r="B58" s="33" t="n">
        <f aca="false">TotalStations</f>
        <v>199</v>
      </c>
    </row>
    <row r="59" customFormat="false" ht="15" hidden="false" customHeight="true" outlineLevel="0" collapsed="false">
      <c r="A59" s="22" t="s">
        <v>105</v>
      </c>
      <c r="B59" s="26" t="n">
        <f aca="false">SUMPRODUCT($B$10:$B$25,$C$10:$C$25)</f>
        <v>21870</v>
      </c>
    </row>
    <row r="60" customFormat="false" ht="15" hidden="false" customHeight="true" outlineLevel="0" collapsed="false">
      <c r="A60" s="22" t="s">
        <v>106</v>
      </c>
      <c r="B60" s="34" t="n">
        <f aca="false">B59/60</f>
        <v>364.5</v>
      </c>
    </row>
    <row r="61" customFormat="false" ht="15" hidden="false" customHeight="true" outlineLevel="0" collapsed="false">
      <c r="A61" s="22" t="s">
        <v>107</v>
      </c>
      <c r="B61" s="35" t="n">
        <f aca="false">B59/420</f>
        <v>52.0714285714286</v>
      </c>
    </row>
    <row r="62" customFormat="false" ht="15" hidden="false" customHeight="true" outlineLevel="0" collapsed="false">
      <c r="A62" s="22" t="s">
        <v>108</v>
      </c>
      <c r="B62" s="35" t="n">
        <f aca="false">B59/480</f>
        <v>45.5625</v>
      </c>
    </row>
    <row r="63" customFormat="false" ht="15" hidden="false" customHeight="true" outlineLevel="0" collapsed="false">
      <c r="A63" s="22" t="s">
        <v>109</v>
      </c>
      <c r="B63" s="23" t="s">
        <v>110</v>
      </c>
    </row>
    <row r="64" customFormat="false" ht="13.8" hidden="false" customHeight="false" outlineLevel="0" collapsed="false"/>
    <row r="65" s="13" customFormat="true" ht="30" hidden="false" customHeight="true" outlineLevel="0" collapsed="false">
      <c r="A65" s="36" t="s">
        <v>111</v>
      </c>
      <c r="B65" s="36" t="s">
        <v>112</v>
      </c>
      <c r="C65" s="36" t="s">
        <v>113</v>
      </c>
      <c r="D65" s="36" t="s">
        <v>114</v>
      </c>
      <c r="E65" s="36" t="s">
        <v>115</v>
      </c>
      <c r="F65" s="36" t="s">
        <v>116</v>
      </c>
      <c r="G65" s="36" t="s">
        <v>117</v>
      </c>
      <c r="H65" s="36" t="s">
        <v>118</v>
      </c>
      <c r="I65" s="36" t="s">
        <v>119</v>
      </c>
      <c r="J65" s="36" t="s">
        <v>120</v>
      </c>
      <c r="K65" s="36" t="s">
        <v>121</v>
      </c>
      <c r="L65" s="36" t="s">
        <v>122</v>
      </c>
      <c r="M65" s="36" t="s">
        <v>123</v>
      </c>
      <c r="N65" s="36" t="s">
        <v>124</v>
      </c>
      <c r="O65" s="36" t="s">
        <v>125</v>
      </c>
      <c r="P65" s="36" t="s">
        <v>126</v>
      </c>
      <c r="Q65" s="36" t="s">
        <v>127</v>
      </c>
    </row>
    <row r="66" customFormat="false" ht="15" hidden="false" customHeight="true" outlineLevel="0" collapsed="false">
      <c r="A66" s="37" t="n">
        <f aca="false">$B$4</f>
        <v>46265</v>
      </c>
      <c r="B66" s="24" t="str">
        <f aca="false">IF(COUNTIF($B$5:$F$5,A66)&gt;0,"Dédié","Normal")</f>
        <v>Normal</v>
      </c>
      <c r="C66" s="24" t="n">
        <v>0</v>
      </c>
      <c r="D66" s="24" t="str">
        <f aca="false">IF(C66&gt;=TotalStations,"Terminé",INDEX($A$10:$A$25,MATCH(SUMPRODUCT(($A$10:$A$25&lt;&gt;"")*($D$10:$D$25&lt;=C66))+1,$E$10:$E$25,0)))</f>
        <v>Single 1</v>
      </c>
      <c r="E66" s="24" t="n">
        <f aca="false">IF(C66&gt;=TotalStations,"",INDEX($C$10:$C$25,MATCH(SUMPRODUCT(($A$10:$A$25&lt;&gt;"")*($D$10:$D$25&lt;=C66))+1,$E$10:$E$25,0)))</f>
        <v>180</v>
      </c>
      <c r="F66" s="24" t="n">
        <f aca="false">IF(C66&gt;=TotalStations,0,IF(B66="Dédié",MIN(FLOOR(420/E66,1),(TotalStations-C66)),MIN(1,(TotalStations-C66))))</f>
        <v>1</v>
      </c>
      <c r="G66" s="24" t="n">
        <f aca="false">C66+F66</f>
        <v>1</v>
      </c>
      <c r="H66" s="24" t="n">
        <v>0</v>
      </c>
      <c r="I66" s="24" t="str">
        <f aca="false">IF(H66&gt;=TotalStations,"Terminé",INDEX($A$10:$A$25,MATCH(SUMPRODUCT(($A$10:$A$25&lt;&gt;"")*($D$10:$D$25&lt;=H66))+1,$E$10:$E$25,0)))</f>
        <v>Single 1</v>
      </c>
      <c r="J66" s="24" t="n">
        <f aca="false">IF(H66&gt;=TotalStations,"",INDEX($C$10:$C$25,MATCH(SUMPRODUCT(($A$10:$A$25&lt;&gt;"")*($D$10:$D$25&lt;=H66))+1,$E$10:$E$25,0)))</f>
        <v>180</v>
      </c>
      <c r="K66" s="24" t="n">
        <f aca="false">IF(H66&gt;=TotalStations,0,IF(B66="Dédié",MIN(FLOOR(420/J66,1),(TotalStations-H66)),MIN(2,(TotalStations-H66))))</f>
        <v>2</v>
      </c>
      <c r="L66" s="24" t="n">
        <f aca="false">H66+K66</f>
        <v>2</v>
      </c>
      <c r="M66" s="24" t="n">
        <v>0</v>
      </c>
      <c r="N66" s="24" t="str">
        <f aca="false">IF(M66&gt;=TotalStations,"Terminé",INDEX($A$10:$A$25,MATCH(SUMPRODUCT(($A$10:$A$25&lt;&gt;"")*($D$10:$D$25&lt;=M66))+1,$E$10:$E$25,0)))</f>
        <v>Single 1</v>
      </c>
      <c r="O66" s="24" t="n">
        <f aca="false">IF(M66&gt;=TotalStations,"",INDEX($C$10:$C$25,MATCH(SUMPRODUCT(($A$10:$A$25&lt;&gt;"")*($D$10:$D$25&lt;=M66))+1,$E$10:$E$25,0)))</f>
        <v>180</v>
      </c>
      <c r="P66" s="24" t="n">
        <f aca="false">IF(M66&gt;=TotalStations,0,MIN(FLOOR(420/O66,1),(TotalStations-M66)))</f>
        <v>2</v>
      </c>
      <c r="Q66" s="24" t="n">
        <f aca="false">M66+P66</f>
        <v>2</v>
      </c>
    </row>
    <row r="67" customFormat="false" ht="15" hidden="false" customHeight="true" outlineLevel="0" collapsed="false">
      <c r="A67" s="37" t="n">
        <f aca="false">WORKDAY(A66,1)</f>
        <v>46266</v>
      </c>
      <c r="B67" s="24" t="str">
        <f aca="false">IF(COUNTIF($B$5:$F$5,A67)&gt;0,"Dédié","Normal")</f>
        <v>Normal</v>
      </c>
      <c r="C67" s="24" t="n">
        <f aca="false">G66</f>
        <v>1</v>
      </c>
      <c r="D67" s="24" t="str">
        <f aca="false">IF(C67&gt;=TotalStations,"Terminé",INDEX($A$10:$A$25,MATCH(SUMPRODUCT(($A$10:$A$25&lt;&gt;"")*($D$10:$D$25&lt;=C67))+1,$E$10:$E$25,0)))</f>
        <v>Single 1</v>
      </c>
      <c r="E67" s="24" t="n">
        <f aca="false">IF(C67&gt;=TotalStations,"",INDEX($C$10:$C$25,MATCH(SUMPRODUCT(($A$10:$A$25&lt;&gt;"")*($D$10:$D$25&lt;=C67))+1,$E$10:$E$25,0)))</f>
        <v>180</v>
      </c>
      <c r="F67" s="24" t="n">
        <f aca="false">IF(C67&gt;=TotalStations,0,IF(B67="Dédié",MIN(FLOOR(420/E67,1),(TotalStations-C67)),MIN(1,(TotalStations-C67))))</f>
        <v>1</v>
      </c>
      <c r="G67" s="24" t="n">
        <f aca="false">C67+F67</f>
        <v>2</v>
      </c>
      <c r="H67" s="24" t="n">
        <f aca="false">L66</f>
        <v>2</v>
      </c>
      <c r="I67" s="24" t="str">
        <f aca="false">IF(H67&gt;=TotalStations,"Terminé",INDEX($A$10:$A$25,MATCH(SUMPRODUCT(($A$10:$A$25&lt;&gt;"")*($D$10:$D$25&lt;=H67))+1,$E$10:$E$25,0)))</f>
        <v>Single 1</v>
      </c>
      <c r="J67" s="24" t="n">
        <f aca="false">IF(H67&gt;=TotalStations,"",INDEX($C$10:$C$25,MATCH(SUMPRODUCT(($A$10:$A$25&lt;&gt;"")*($D$10:$D$25&lt;=H67))+1,$E$10:$E$25,0)))</f>
        <v>180</v>
      </c>
      <c r="K67" s="24" t="n">
        <f aca="false">IF(H67&gt;=TotalStations,0,IF(B67="Dédié",MIN(FLOOR(420/J67,1),(TotalStations-H67)),MIN(2,(TotalStations-H67))))</f>
        <v>2</v>
      </c>
      <c r="L67" s="24" t="n">
        <f aca="false">H67+K67</f>
        <v>4</v>
      </c>
      <c r="M67" s="24" t="n">
        <f aca="false">Q66</f>
        <v>2</v>
      </c>
      <c r="N67" s="24" t="str">
        <f aca="false">IF(M67&gt;=TotalStations,"Terminé",INDEX($A$10:$A$25,MATCH(SUMPRODUCT(($A$10:$A$25&lt;&gt;"")*($D$10:$D$25&lt;=M67))+1,$E$10:$E$25,0)))</f>
        <v>Single 1</v>
      </c>
      <c r="O67" s="24" t="n">
        <f aca="false">IF(M67&gt;=TotalStations,"",INDEX($C$10:$C$25,MATCH(SUMPRODUCT(($A$10:$A$25&lt;&gt;"")*($D$10:$D$25&lt;=M67))+1,$E$10:$E$25,0)))</f>
        <v>180</v>
      </c>
      <c r="P67" s="24" t="n">
        <f aca="false">IF(M67&gt;=TotalStations,0,MIN(FLOOR(420/O67,1),(TotalStations-M67)))</f>
        <v>2</v>
      </c>
      <c r="Q67" s="24" t="n">
        <f aca="false">M67+P67</f>
        <v>4</v>
      </c>
    </row>
    <row r="68" customFormat="false" ht="15" hidden="false" customHeight="true" outlineLevel="0" collapsed="false">
      <c r="A68" s="37" t="n">
        <f aca="false">WORKDAY(A67,1)</f>
        <v>46267</v>
      </c>
      <c r="B68" s="24" t="str">
        <f aca="false">IF(COUNTIF($B$5:$F$5,A68)&gt;0,"Dédié","Normal")</f>
        <v>Dédié</v>
      </c>
      <c r="C68" s="24" t="n">
        <f aca="false">G67</f>
        <v>2</v>
      </c>
      <c r="D68" s="24" t="str">
        <f aca="false">IF(C68&gt;=TotalStations,"Terminé",INDEX($A$10:$A$25,MATCH(SUMPRODUCT(($A$10:$A$25&lt;&gt;"")*($D$10:$D$25&lt;=C68))+1,$E$10:$E$25,0)))</f>
        <v>Single 1</v>
      </c>
      <c r="E68" s="24" t="n">
        <f aca="false">IF(C68&gt;=TotalStations,"",INDEX($C$10:$C$25,MATCH(SUMPRODUCT(($A$10:$A$25&lt;&gt;"")*($D$10:$D$25&lt;=C68))+1,$E$10:$E$25,0)))</f>
        <v>180</v>
      </c>
      <c r="F68" s="24" t="n">
        <f aca="false">IF(C68&gt;=TotalStations,0,IF(B68="Dédié",MIN(FLOOR(420/E68,1),(TotalStations-C68)),MIN(1,(TotalStations-C68))))</f>
        <v>2</v>
      </c>
      <c r="G68" s="24" t="n">
        <f aca="false">C68+F68</f>
        <v>4</v>
      </c>
      <c r="H68" s="24" t="n">
        <f aca="false">L67</f>
        <v>4</v>
      </c>
      <c r="I68" s="24" t="str">
        <f aca="false">IF(H68&gt;=TotalStations,"Terminé",INDEX($A$10:$A$25,MATCH(SUMPRODUCT(($A$10:$A$25&lt;&gt;"")*($D$10:$D$25&lt;=H68))+1,$E$10:$E$25,0)))</f>
        <v>Single 1</v>
      </c>
      <c r="J68" s="24" t="n">
        <f aca="false">IF(H68&gt;=TotalStations,"",INDEX($C$10:$C$25,MATCH(SUMPRODUCT(($A$10:$A$25&lt;&gt;"")*($D$10:$D$25&lt;=H68))+1,$E$10:$E$25,0)))</f>
        <v>180</v>
      </c>
      <c r="K68" s="24" t="n">
        <f aca="false">IF(H68&gt;=TotalStations,0,IF(B68="Dédié",MIN(FLOOR(420/J68,1),(TotalStations-H68)),MIN(2,(TotalStations-H68))))</f>
        <v>2</v>
      </c>
      <c r="L68" s="24" t="n">
        <f aca="false">H68+K68</f>
        <v>6</v>
      </c>
      <c r="M68" s="24" t="n">
        <f aca="false">Q67</f>
        <v>4</v>
      </c>
      <c r="N68" s="24" t="str">
        <f aca="false">IF(M68&gt;=TotalStations,"Terminé",INDEX($A$10:$A$25,MATCH(SUMPRODUCT(($A$10:$A$25&lt;&gt;"")*($D$10:$D$25&lt;=M68))+1,$E$10:$E$25,0)))</f>
        <v>Single 1</v>
      </c>
      <c r="O68" s="24" t="n">
        <f aca="false">IF(M68&gt;=TotalStations,"",INDEX($C$10:$C$25,MATCH(SUMPRODUCT(($A$10:$A$25&lt;&gt;"")*($D$10:$D$25&lt;=M68))+1,$E$10:$E$25,0)))</f>
        <v>180</v>
      </c>
      <c r="P68" s="24" t="n">
        <f aca="false">IF(M68&gt;=TotalStations,0,MIN(FLOOR(420/O68,1),(TotalStations-M68)))</f>
        <v>2</v>
      </c>
      <c r="Q68" s="24" t="n">
        <f aca="false">M68+P68</f>
        <v>6</v>
      </c>
    </row>
    <row r="69" customFormat="false" ht="15" hidden="false" customHeight="true" outlineLevel="0" collapsed="false">
      <c r="A69" s="37" t="n">
        <f aca="false">WORKDAY(A68,1)</f>
        <v>46268</v>
      </c>
      <c r="B69" s="24" t="str">
        <f aca="false">IF(COUNTIF($B$5:$F$5,A69)&gt;0,"Dédié","Normal")</f>
        <v>Normal</v>
      </c>
      <c r="C69" s="24" t="n">
        <f aca="false">G68</f>
        <v>4</v>
      </c>
      <c r="D69" s="24" t="str">
        <f aca="false">IF(C69&gt;=TotalStations,"Terminé",INDEX($A$10:$A$25,MATCH(SUMPRODUCT(($A$10:$A$25&lt;&gt;"")*($D$10:$D$25&lt;=C69))+1,$E$10:$E$25,0)))</f>
        <v>Single 1</v>
      </c>
      <c r="E69" s="24" t="n">
        <f aca="false">IF(C69&gt;=TotalStations,"",INDEX($C$10:$C$25,MATCH(SUMPRODUCT(($A$10:$A$25&lt;&gt;"")*($D$10:$D$25&lt;=C69))+1,$E$10:$E$25,0)))</f>
        <v>180</v>
      </c>
      <c r="F69" s="24" t="n">
        <f aca="false">IF(C69&gt;=TotalStations,0,IF(B69="Dédié",MIN(FLOOR(420/E69,1),(TotalStations-C69)),MIN(1,(TotalStations-C69))))</f>
        <v>1</v>
      </c>
      <c r="G69" s="24" t="n">
        <f aca="false">C69+F69</f>
        <v>5</v>
      </c>
      <c r="H69" s="24" t="n">
        <f aca="false">L68</f>
        <v>6</v>
      </c>
      <c r="I69" s="24" t="str">
        <f aca="false">IF(H69&gt;=TotalStations,"Terminé",INDEX($A$10:$A$25,MATCH(SUMPRODUCT(($A$10:$A$25&lt;&gt;"")*($D$10:$D$25&lt;=H69))+1,$E$10:$E$25,0)))</f>
        <v>Single 1</v>
      </c>
      <c r="J69" s="24" t="n">
        <f aca="false">IF(H69&gt;=TotalStations,"",INDEX($C$10:$C$25,MATCH(SUMPRODUCT(($A$10:$A$25&lt;&gt;"")*($D$10:$D$25&lt;=H69))+1,$E$10:$E$25,0)))</f>
        <v>180</v>
      </c>
      <c r="K69" s="24" t="n">
        <f aca="false">IF(H69&gt;=TotalStations,0,IF(B69="Dédié",MIN(FLOOR(420/J69,1),(TotalStations-H69)),MIN(2,(TotalStations-H69))))</f>
        <v>2</v>
      </c>
      <c r="L69" s="24" t="n">
        <f aca="false">H69+K69</f>
        <v>8</v>
      </c>
      <c r="M69" s="24" t="n">
        <f aca="false">Q68</f>
        <v>6</v>
      </c>
      <c r="N69" s="24" t="str">
        <f aca="false">IF(M69&gt;=TotalStations,"Terminé",INDEX($A$10:$A$25,MATCH(SUMPRODUCT(($A$10:$A$25&lt;&gt;"")*($D$10:$D$25&lt;=M69))+1,$E$10:$E$25,0)))</f>
        <v>Single 1</v>
      </c>
      <c r="O69" s="24" t="n">
        <f aca="false">IF(M69&gt;=TotalStations,"",INDEX($C$10:$C$25,MATCH(SUMPRODUCT(($A$10:$A$25&lt;&gt;"")*($D$10:$D$25&lt;=M69))+1,$E$10:$E$25,0)))</f>
        <v>180</v>
      </c>
      <c r="P69" s="24" t="n">
        <f aca="false">IF(M69&gt;=TotalStations,0,MIN(FLOOR(420/O69,1),(TotalStations-M69)))</f>
        <v>2</v>
      </c>
      <c r="Q69" s="24" t="n">
        <f aca="false">M69+P69</f>
        <v>8</v>
      </c>
    </row>
    <row r="70" customFormat="false" ht="15" hidden="false" customHeight="true" outlineLevel="0" collapsed="false">
      <c r="A70" s="37" t="n">
        <f aca="false">WORKDAY(A69,1)</f>
        <v>46269</v>
      </c>
      <c r="B70" s="24" t="str">
        <f aca="false">IF(COUNTIF($B$5:$F$5,A70)&gt;0,"Dédié","Normal")</f>
        <v>Normal</v>
      </c>
      <c r="C70" s="24" t="n">
        <f aca="false">G69</f>
        <v>5</v>
      </c>
      <c r="D70" s="24" t="str">
        <f aca="false">IF(C70&gt;=TotalStations,"Terminé",INDEX($A$10:$A$25,MATCH(SUMPRODUCT(($A$10:$A$25&lt;&gt;"")*($D$10:$D$25&lt;=C70))+1,$E$10:$E$25,0)))</f>
        <v>Single 1</v>
      </c>
      <c r="E70" s="24" t="n">
        <f aca="false">IF(C70&gt;=TotalStations,"",INDEX($C$10:$C$25,MATCH(SUMPRODUCT(($A$10:$A$25&lt;&gt;"")*($D$10:$D$25&lt;=C70))+1,$E$10:$E$25,0)))</f>
        <v>180</v>
      </c>
      <c r="F70" s="24" t="n">
        <f aca="false">IF(C70&gt;=TotalStations,0,IF(B70="Dédié",MIN(FLOOR(420/E70,1),(TotalStations-C70)),MIN(1,(TotalStations-C70))))</f>
        <v>1</v>
      </c>
      <c r="G70" s="24" t="n">
        <f aca="false">C70+F70</f>
        <v>6</v>
      </c>
      <c r="H70" s="24" t="n">
        <f aca="false">L69</f>
        <v>8</v>
      </c>
      <c r="I70" s="24" t="str">
        <f aca="false">IF(H70&gt;=TotalStations,"Terminé",INDEX($A$10:$A$25,MATCH(SUMPRODUCT(($A$10:$A$25&lt;&gt;"")*($D$10:$D$25&lt;=H70))+1,$E$10:$E$25,0)))</f>
        <v>Single 1</v>
      </c>
      <c r="J70" s="24" t="n">
        <f aca="false">IF(H70&gt;=TotalStations,"",INDEX($C$10:$C$25,MATCH(SUMPRODUCT(($A$10:$A$25&lt;&gt;"")*($D$10:$D$25&lt;=H70))+1,$E$10:$E$25,0)))</f>
        <v>180</v>
      </c>
      <c r="K70" s="24" t="n">
        <f aca="false">IF(H70&gt;=TotalStations,0,IF(B70="Dédié",MIN(FLOOR(420/J70,1),(TotalStations-H70)),MIN(2,(TotalStations-H70))))</f>
        <v>2</v>
      </c>
      <c r="L70" s="24" t="n">
        <f aca="false">H70+K70</f>
        <v>10</v>
      </c>
      <c r="M70" s="24" t="n">
        <f aca="false">Q69</f>
        <v>8</v>
      </c>
      <c r="N70" s="24" t="str">
        <f aca="false">IF(M70&gt;=TotalStations,"Terminé",INDEX($A$10:$A$25,MATCH(SUMPRODUCT(($A$10:$A$25&lt;&gt;"")*($D$10:$D$25&lt;=M70))+1,$E$10:$E$25,0)))</f>
        <v>Single 1</v>
      </c>
      <c r="O70" s="24" t="n">
        <f aca="false">IF(M70&gt;=TotalStations,"",INDEX($C$10:$C$25,MATCH(SUMPRODUCT(($A$10:$A$25&lt;&gt;"")*($D$10:$D$25&lt;=M70))+1,$E$10:$E$25,0)))</f>
        <v>180</v>
      </c>
      <c r="P70" s="24" t="n">
        <f aca="false">IF(M70&gt;=TotalStations,0,MIN(FLOOR(420/O70,1),(TotalStations-M70)))</f>
        <v>2</v>
      </c>
      <c r="Q70" s="24" t="n">
        <f aca="false">M70+P70</f>
        <v>10</v>
      </c>
    </row>
    <row r="71" customFormat="false" ht="15" hidden="false" customHeight="true" outlineLevel="0" collapsed="false">
      <c r="A71" s="37" t="n">
        <f aca="false">WORKDAY(A70,1)</f>
        <v>46272</v>
      </c>
      <c r="B71" s="24" t="str">
        <f aca="false">IF(COUNTIF($B$5:$F$5,A71)&gt;0,"Dédié","Normal")</f>
        <v>Normal</v>
      </c>
      <c r="C71" s="24" t="n">
        <f aca="false">G70</f>
        <v>6</v>
      </c>
      <c r="D71" s="24" t="str">
        <f aca="false">IF(C71&gt;=TotalStations,"Terminé",INDEX($A$10:$A$25,MATCH(SUMPRODUCT(($A$10:$A$25&lt;&gt;"")*($D$10:$D$25&lt;=C71))+1,$E$10:$E$25,0)))</f>
        <v>Single 1</v>
      </c>
      <c r="E71" s="24" t="n">
        <f aca="false">IF(C71&gt;=TotalStations,"",INDEX($C$10:$C$25,MATCH(SUMPRODUCT(($A$10:$A$25&lt;&gt;"")*($D$10:$D$25&lt;=C71))+1,$E$10:$E$25,0)))</f>
        <v>180</v>
      </c>
      <c r="F71" s="24" t="n">
        <f aca="false">IF(C71&gt;=TotalStations,0,IF(B71="Dédié",MIN(FLOOR(420/E71,1),(TotalStations-C71)),MIN(1,(TotalStations-C71))))</f>
        <v>1</v>
      </c>
      <c r="G71" s="24" t="n">
        <f aca="false">C71+F71</f>
        <v>7</v>
      </c>
      <c r="H71" s="24" t="n">
        <f aca="false">L70</f>
        <v>10</v>
      </c>
      <c r="I71" s="24" t="str">
        <f aca="false">IF(H71&gt;=TotalStations,"Terminé",INDEX($A$10:$A$25,MATCH(SUMPRODUCT(($A$10:$A$25&lt;&gt;"")*($D$10:$D$25&lt;=H71))+1,$E$10:$E$25,0)))</f>
        <v>Single 1</v>
      </c>
      <c r="J71" s="24" t="n">
        <f aca="false">IF(H71&gt;=TotalStations,"",INDEX($C$10:$C$25,MATCH(SUMPRODUCT(($A$10:$A$25&lt;&gt;"")*($D$10:$D$25&lt;=H71))+1,$E$10:$E$25,0)))</f>
        <v>180</v>
      </c>
      <c r="K71" s="24" t="n">
        <f aca="false">IF(H71&gt;=TotalStations,0,IF(B71="Dédié",MIN(FLOOR(420/J71,1),(TotalStations-H71)),MIN(2,(TotalStations-H71))))</f>
        <v>2</v>
      </c>
      <c r="L71" s="24" t="n">
        <f aca="false">H71+K71</f>
        <v>12</v>
      </c>
      <c r="M71" s="24" t="n">
        <f aca="false">Q70</f>
        <v>10</v>
      </c>
      <c r="N71" s="24" t="str">
        <f aca="false">IF(M71&gt;=TotalStations,"Terminé",INDEX($A$10:$A$25,MATCH(SUMPRODUCT(($A$10:$A$25&lt;&gt;"")*($D$10:$D$25&lt;=M71))+1,$E$10:$E$25,0)))</f>
        <v>Single 1</v>
      </c>
      <c r="O71" s="24" t="n">
        <f aca="false">IF(M71&gt;=TotalStations,"",INDEX($C$10:$C$25,MATCH(SUMPRODUCT(($A$10:$A$25&lt;&gt;"")*($D$10:$D$25&lt;=M71))+1,$E$10:$E$25,0)))</f>
        <v>180</v>
      </c>
      <c r="P71" s="24" t="n">
        <f aca="false">IF(M71&gt;=TotalStations,0,MIN(FLOOR(420/O71,1),(TotalStations-M71)))</f>
        <v>2</v>
      </c>
      <c r="Q71" s="24" t="n">
        <f aca="false">M71+P71</f>
        <v>12</v>
      </c>
    </row>
    <row r="72" customFormat="false" ht="15" hidden="false" customHeight="true" outlineLevel="0" collapsed="false">
      <c r="A72" s="37" t="n">
        <f aca="false">WORKDAY(A71,1)</f>
        <v>46273</v>
      </c>
      <c r="B72" s="24" t="str">
        <f aca="false">IF(COUNTIF($B$5:$F$5,A72)&gt;0,"Dédié","Normal")</f>
        <v>Normal</v>
      </c>
      <c r="C72" s="24" t="n">
        <f aca="false">G71</f>
        <v>7</v>
      </c>
      <c r="D72" s="24" t="str">
        <f aca="false">IF(C72&gt;=TotalStations,"Terminé",INDEX($A$10:$A$25,MATCH(SUMPRODUCT(($A$10:$A$25&lt;&gt;"")*($D$10:$D$25&lt;=C72))+1,$E$10:$E$25,0)))</f>
        <v>Single 1</v>
      </c>
      <c r="E72" s="24" t="n">
        <f aca="false">IF(C72&gt;=TotalStations,"",INDEX($C$10:$C$25,MATCH(SUMPRODUCT(($A$10:$A$25&lt;&gt;"")*($D$10:$D$25&lt;=C72))+1,$E$10:$E$25,0)))</f>
        <v>180</v>
      </c>
      <c r="F72" s="24" t="n">
        <f aca="false">IF(C72&gt;=TotalStations,0,IF(B72="Dédié",MIN(FLOOR(420/E72,1),(TotalStations-C72)),MIN(1,(TotalStations-C72))))</f>
        <v>1</v>
      </c>
      <c r="G72" s="24" t="n">
        <f aca="false">C72+F72</f>
        <v>8</v>
      </c>
      <c r="H72" s="24" t="n">
        <f aca="false">L71</f>
        <v>12</v>
      </c>
      <c r="I72" s="24" t="str">
        <f aca="false">IF(H72&gt;=TotalStations,"Terminé",INDEX($A$10:$A$25,MATCH(SUMPRODUCT(($A$10:$A$25&lt;&gt;"")*($D$10:$D$25&lt;=H72))+1,$E$10:$E$25,0)))</f>
        <v>Single 1</v>
      </c>
      <c r="J72" s="24" t="n">
        <f aca="false">IF(H72&gt;=TotalStations,"",INDEX($C$10:$C$25,MATCH(SUMPRODUCT(($A$10:$A$25&lt;&gt;"")*($D$10:$D$25&lt;=H72))+1,$E$10:$E$25,0)))</f>
        <v>180</v>
      </c>
      <c r="K72" s="24" t="n">
        <f aca="false">IF(H72&gt;=TotalStations,0,IF(B72="Dédié",MIN(FLOOR(420/J72,1),(TotalStations-H72)),MIN(2,(TotalStations-H72))))</f>
        <v>2</v>
      </c>
      <c r="L72" s="24" t="n">
        <f aca="false">H72+K72</f>
        <v>14</v>
      </c>
      <c r="M72" s="24" t="n">
        <f aca="false">Q71</f>
        <v>12</v>
      </c>
      <c r="N72" s="24" t="str">
        <f aca="false">IF(M72&gt;=TotalStations,"Terminé",INDEX($A$10:$A$25,MATCH(SUMPRODUCT(($A$10:$A$25&lt;&gt;"")*($D$10:$D$25&lt;=M72))+1,$E$10:$E$25,0)))</f>
        <v>Single 1</v>
      </c>
      <c r="O72" s="24" t="n">
        <f aca="false">IF(M72&gt;=TotalStations,"",INDEX($C$10:$C$25,MATCH(SUMPRODUCT(($A$10:$A$25&lt;&gt;"")*($D$10:$D$25&lt;=M72))+1,$E$10:$E$25,0)))</f>
        <v>180</v>
      </c>
      <c r="P72" s="24" t="n">
        <f aca="false">IF(M72&gt;=TotalStations,0,MIN(FLOOR(420/O72,1),(TotalStations-M72)))</f>
        <v>2</v>
      </c>
      <c r="Q72" s="24" t="n">
        <f aca="false">M72+P72</f>
        <v>14</v>
      </c>
    </row>
    <row r="73" customFormat="false" ht="15" hidden="false" customHeight="true" outlineLevel="0" collapsed="false">
      <c r="A73" s="37" t="n">
        <f aca="false">WORKDAY(A72,1)</f>
        <v>46274</v>
      </c>
      <c r="B73" s="24" t="str">
        <f aca="false">IF(COUNTIF($B$5:$F$5,A73)&gt;0,"Dédié","Normal")</f>
        <v>Dédié</v>
      </c>
      <c r="C73" s="24" t="n">
        <f aca="false">G72</f>
        <v>8</v>
      </c>
      <c r="D73" s="24" t="str">
        <f aca="false">IF(C73&gt;=TotalStations,"Terminé",INDEX($A$10:$A$25,MATCH(SUMPRODUCT(($A$10:$A$25&lt;&gt;"")*($D$10:$D$25&lt;=C73))+1,$E$10:$E$25,0)))</f>
        <v>Single 1</v>
      </c>
      <c r="E73" s="24" t="n">
        <f aca="false">IF(C73&gt;=TotalStations,"",INDEX($C$10:$C$25,MATCH(SUMPRODUCT(($A$10:$A$25&lt;&gt;"")*($D$10:$D$25&lt;=C73))+1,$E$10:$E$25,0)))</f>
        <v>180</v>
      </c>
      <c r="F73" s="24" t="n">
        <f aca="false">IF(C73&gt;=TotalStations,0,IF(B73="Dédié",MIN(FLOOR(420/E73,1),(TotalStations-C73)),MIN(1,(TotalStations-C73))))</f>
        <v>2</v>
      </c>
      <c r="G73" s="24" t="n">
        <f aca="false">C73+F73</f>
        <v>10</v>
      </c>
      <c r="H73" s="24" t="n">
        <f aca="false">L72</f>
        <v>14</v>
      </c>
      <c r="I73" s="24" t="str">
        <f aca="false">IF(H73&gt;=TotalStations,"Terminé",INDEX($A$10:$A$25,MATCH(SUMPRODUCT(($A$10:$A$25&lt;&gt;"")*($D$10:$D$25&lt;=H73))+1,$E$10:$E$25,0)))</f>
        <v>Single 1</v>
      </c>
      <c r="J73" s="24" t="n">
        <f aca="false">IF(H73&gt;=TotalStations,"",INDEX($C$10:$C$25,MATCH(SUMPRODUCT(($A$10:$A$25&lt;&gt;"")*($D$10:$D$25&lt;=H73))+1,$E$10:$E$25,0)))</f>
        <v>180</v>
      </c>
      <c r="K73" s="24" t="n">
        <f aca="false">IF(H73&gt;=TotalStations,0,IF(B73="Dédié",MIN(FLOOR(420/J73,1),(TotalStations-H73)),MIN(2,(TotalStations-H73))))</f>
        <v>2</v>
      </c>
      <c r="L73" s="24" t="n">
        <f aca="false">H73+K73</f>
        <v>16</v>
      </c>
      <c r="M73" s="24" t="n">
        <f aca="false">Q72</f>
        <v>14</v>
      </c>
      <c r="N73" s="24" t="str">
        <f aca="false">IF(M73&gt;=TotalStations,"Terminé",INDEX($A$10:$A$25,MATCH(SUMPRODUCT(($A$10:$A$25&lt;&gt;"")*($D$10:$D$25&lt;=M73))+1,$E$10:$E$25,0)))</f>
        <v>Single 1</v>
      </c>
      <c r="O73" s="24" t="n">
        <f aca="false">IF(M73&gt;=TotalStations,"",INDEX($C$10:$C$25,MATCH(SUMPRODUCT(($A$10:$A$25&lt;&gt;"")*($D$10:$D$25&lt;=M73))+1,$E$10:$E$25,0)))</f>
        <v>180</v>
      </c>
      <c r="P73" s="24" t="n">
        <f aca="false">IF(M73&gt;=TotalStations,0,MIN(FLOOR(420/O73,1),(TotalStations-M73)))</f>
        <v>2</v>
      </c>
      <c r="Q73" s="24" t="n">
        <f aca="false">M73+P73</f>
        <v>16</v>
      </c>
    </row>
    <row r="74" customFormat="false" ht="15" hidden="false" customHeight="true" outlineLevel="0" collapsed="false">
      <c r="A74" s="37" t="n">
        <f aca="false">WORKDAY(A73,1)</f>
        <v>46275</v>
      </c>
      <c r="B74" s="24" t="str">
        <f aca="false">IF(COUNTIF($B$5:$F$5,A74)&gt;0,"Dédié","Normal")</f>
        <v>Normal</v>
      </c>
      <c r="C74" s="24" t="n">
        <f aca="false">G73</f>
        <v>10</v>
      </c>
      <c r="D74" s="24" t="str">
        <f aca="false">IF(C74&gt;=TotalStations,"Terminé",INDEX($A$10:$A$25,MATCH(SUMPRODUCT(($A$10:$A$25&lt;&gt;"")*($D$10:$D$25&lt;=C74))+1,$E$10:$E$25,0)))</f>
        <v>Single 1</v>
      </c>
      <c r="E74" s="24" t="n">
        <f aca="false">IF(C74&gt;=TotalStations,"",INDEX($C$10:$C$25,MATCH(SUMPRODUCT(($A$10:$A$25&lt;&gt;"")*($D$10:$D$25&lt;=C74))+1,$E$10:$E$25,0)))</f>
        <v>180</v>
      </c>
      <c r="F74" s="24" t="n">
        <f aca="false">IF(C74&gt;=TotalStations,0,IF(B74="Dédié",MIN(FLOOR(420/E74,1),(TotalStations-C74)),MIN(1,(TotalStations-C74))))</f>
        <v>1</v>
      </c>
      <c r="G74" s="24" t="n">
        <f aca="false">C74+F74</f>
        <v>11</v>
      </c>
      <c r="H74" s="24" t="n">
        <f aca="false">L73</f>
        <v>16</v>
      </c>
      <c r="I74" s="24" t="str">
        <f aca="false">IF(H74&gt;=TotalStations,"Terminé",INDEX($A$10:$A$25,MATCH(SUMPRODUCT(($A$10:$A$25&lt;&gt;"")*($D$10:$D$25&lt;=H74))+1,$E$10:$E$25,0)))</f>
        <v>Single 1</v>
      </c>
      <c r="J74" s="24" t="n">
        <f aca="false">IF(H74&gt;=TotalStations,"",INDEX($C$10:$C$25,MATCH(SUMPRODUCT(($A$10:$A$25&lt;&gt;"")*($D$10:$D$25&lt;=H74))+1,$E$10:$E$25,0)))</f>
        <v>180</v>
      </c>
      <c r="K74" s="24" t="n">
        <f aca="false">IF(H74&gt;=TotalStations,0,IF(B74="Dédié",MIN(FLOOR(420/J74,1),(TotalStations-H74)),MIN(2,(TotalStations-H74))))</f>
        <v>2</v>
      </c>
      <c r="L74" s="24" t="n">
        <f aca="false">H74+K74</f>
        <v>18</v>
      </c>
      <c r="M74" s="24" t="n">
        <f aca="false">Q73</f>
        <v>16</v>
      </c>
      <c r="N74" s="24" t="str">
        <f aca="false">IF(M74&gt;=TotalStations,"Terminé",INDEX($A$10:$A$25,MATCH(SUMPRODUCT(($A$10:$A$25&lt;&gt;"")*($D$10:$D$25&lt;=M74))+1,$E$10:$E$25,0)))</f>
        <v>Single 1</v>
      </c>
      <c r="O74" s="24" t="n">
        <f aca="false">IF(M74&gt;=TotalStations,"",INDEX($C$10:$C$25,MATCH(SUMPRODUCT(($A$10:$A$25&lt;&gt;"")*($D$10:$D$25&lt;=M74))+1,$E$10:$E$25,0)))</f>
        <v>180</v>
      </c>
      <c r="P74" s="24" t="n">
        <f aca="false">IF(M74&gt;=TotalStations,0,MIN(FLOOR(420/O74,1),(TotalStations-M74)))</f>
        <v>2</v>
      </c>
      <c r="Q74" s="24" t="n">
        <f aca="false">M74+P74</f>
        <v>18</v>
      </c>
    </row>
    <row r="75" customFormat="false" ht="15" hidden="false" customHeight="true" outlineLevel="0" collapsed="false">
      <c r="A75" s="37" t="n">
        <f aca="false">WORKDAY(A74,1)</f>
        <v>46276</v>
      </c>
      <c r="B75" s="24" t="str">
        <f aca="false">IF(COUNTIF($B$5:$F$5,A75)&gt;0,"Dédié","Normal")</f>
        <v>Normal</v>
      </c>
      <c r="C75" s="24" t="n">
        <f aca="false">G74</f>
        <v>11</v>
      </c>
      <c r="D75" s="24" t="str">
        <f aca="false">IF(C75&gt;=TotalStations,"Terminé",INDEX($A$10:$A$25,MATCH(SUMPRODUCT(($A$10:$A$25&lt;&gt;"")*($D$10:$D$25&lt;=C75))+1,$E$10:$E$25,0)))</f>
        <v>Single 1</v>
      </c>
      <c r="E75" s="24" t="n">
        <f aca="false">IF(C75&gt;=TotalStations,"",INDEX($C$10:$C$25,MATCH(SUMPRODUCT(($A$10:$A$25&lt;&gt;"")*($D$10:$D$25&lt;=C75))+1,$E$10:$E$25,0)))</f>
        <v>180</v>
      </c>
      <c r="F75" s="24" t="n">
        <f aca="false">IF(C75&gt;=TotalStations,0,IF(B75="Dédié",MIN(FLOOR(420/E75,1),(TotalStations-C75)),MIN(1,(TotalStations-C75))))</f>
        <v>1</v>
      </c>
      <c r="G75" s="24" t="n">
        <f aca="false">C75+F75</f>
        <v>12</v>
      </c>
      <c r="H75" s="24" t="n">
        <f aca="false">L74</f>
        <v>18</v>
      </c>
      <c r="I75" s="24" t="str">
        <f aca="false">IF(H75&gt;=TotalStations,"Terminé",INDEX($A$10:$A$25,MATCH(SUMPRODUCT(($A$10:$A$25&lt;&gt;"")*($D$10:$D$25&lt;=H75))+1,$E$10:$E$25,0)))</f>
        <v>Single 1</v>
      </c>
      <c r="J75" s="24" t="n">
        <f aca="false">IF(H75&gt;=TotalStations,"",INDEX($C$10:$C$25,MATCH(SUMPRODUCT(($A$10:$A$25&lt;&gt;"")*($D$10:$D$25&lt;=H75))+1,$E$10:$E$25,0)))</f>
        <v>180</v>
      </c>
      <c r="K75" s="24" t="n">
        <f aca="false">IF(H75&gt;=TotalStations,0,IF(B75="Dédié",MIN(FLOOR(420/J75,1),(TotalStations-H75)),MIN(2,(TotalStations-H75))))</f>
        <v>2</v>
      </c>
      <c r="L75" s="24" t="n">
        <f aca="false">H75+K75</f>
        <v>20</v>
      </c>
      <c r="M75" s="24" t="n">
        <f aca="false">Q74</f>
        <v>18</v>
      </c>
      <c r="N75" s="24" t="str">
        <f aca="false">IF(M75&gt;=TotalStations,"Terminé",INDEX($A$10:$A$25,MATCH(SUMPRODUCT(($A$10:$A$25&lt;&gt;"")*($D$10:$D$25&lt;=M75))+1,$E$10:$E$25,0)))</f>
        <v>Single 1</v>
      </c>
      <c r="O75" s="24" t="n">
        <f aca="false">IF(M75&gt;=TotalStations,"",INDEX($C$10:$C$25,MATCH(SUMPRODUCT(($A$10:$A$25&lt;&gt;"")*($D$10:$D$25&lt;=M75))+1,$E$10:$E$25,0)))</f>
        <v>180</v>
      </c>
      <c r="P75" s="24" t="n">
        <f aca="false">IF(M75&gt;=TotalStations,0,MIN(FLOOR(420/O75,1),(TotalStations-M75)))</f>
        <v>2</v>
      </c>
      <c r="Q75" s="24" t="n">
        <f aca="false">M75+P75</f>
        <v>20</v>
      </c>
    </row>
    <row r="76" customFormat="false" ht="15" hidden="false" customHeight="true" outlineLevel="0" collapsed="false">
      <c r="A76" s="37" t="n">
        <f aca="false">WORKDAY(A75,1)</f>
        <v>46279</v>
      </c>
      <c r="B76" s="24" t="str">
        <f aca="false">IF(COUNTIF($B$5:$F$5,A76)&gt;0,"Dédié","Normal")</f>
        <v>Normal</v>
      </c>
      <c r="C76" s="24" t="n">
        <f aca="false">G75</f>
        <v>12</v>
      </c>
      <c r="D76" s="24" t="str">
        <f aca="false">IF(C76&gt;=TotalStations,"Terminé",INDEX($A$10:$A$25,MATCH(SUMPRODUCT(($A$10:$A$25&lt;&gt;"")*($D$10:$D$25&lt;=C76))+1,$E$10:$E$25,0)))</f>
        <v>Single 1</v>
      </c>
      <c r="E76" s="24" t="n">
        <f aca="false">IF(C76&gt;=TotalStations,"",INDEX($C$10:$C$25,MATCH(SUMPRODUCT(($A$10:$A$25&lt;&gt;"")*($D$10:$D$25&lt;=C76))+1,$E$10:$E$25,0)))</f>
        <v>180</v>
      </c>
      <c r="F76" s="24" t="n">
        <f aca="false">IF(C76&gt;=TotalStations,0,IF(B76="Dédié",MIN(FLOOR(420/E76,1),(TotalStations-C76)),MIN(1,(TotalStations-C76))))</f>
        <v>1</v>
      </c>
      <c r="G76" s="24" t="n">
        <f aca="false">C76+F76</f>
        <v>13</v>
      </c>
      <c r="H76" s="24" t="n">
        <f aca="false">L75</f>
        <v>20</v>
      </c>
      <c r="I76" s="24" t="str">
        <f aca="false">IF(H76&gt;=TotalStations,"Terminé",INDEX($A$10:$A$25,MATCH(SUMPRODUCT(($A$10:$A$25&lt;&gt;"")*($D$10:$D$25&lt;=H76))+1,$E$10:$E$25,0)))</f>
        <v>Single 1</v>
      </c>
      <c r="J76" s="24" t="n">
        <f aca="false">IF(H76&gt;=TotalStations,"",INDEX($C$10:$C$25,MATCH(SUMPRODUCT(($A$10:$A$25&lt;&gt;"")*($D$10:$D$25&lt;=H76))+1,$E$10:$E$25,0)))</f>
        <v>180</v>
      </c>
      <c r="K76" s="24" t="n">
        <f aca="false">IF(H76&gt;=TotalStations,0,IF(B76="Dédié",MIN(FLOOR(420/J76,1),(TotalStations-H76)),MIN(2,(TotalStations-H76))))</f>
        <v>2</v>
      </c>
      <c r="L76" s="24" t="n">
        <f aca="false">H76+K76</f>
        <v>22</v>
      </c>
      <c r="M76" s="24" t="n">
        <f aca="false">Q75</f>
        <v>20</v>
      </c>
      <c r="N76" s="24" t="str">
        <f aca="false">IF(M76&gt;=TotalStations,"Terminé",INDEX($A$10:$A$25,MATCH(SUMPRODUCT(($A$10:$A$25&lt;&gt;"")*($D$10:$D$25&lt;=M76))+1,$E$10:$E$25,0)))</f>
        <v>Single 1</v>
      </c>
      <c r="O76" s="24" t="n">
        <f aca="false">IF(M76&gt;=TotalStations,"",INDEX($C$10:$C$25,MATCH(SUMPRODUCT(($A$10:$A$25&lt;&gt;"")*($D$10:$D$25&lt;=M76))+1,$E$10:$E$25,0)))</f>
        <v>180</v>
      </c>
      <c r="P76" s="24" t="n">
        <f aca="false">IF(M76&gt;=TotalStations,0,MIN(FLOOR(420/O76,1),(TotalStations-M76)))</f>
        <v>2</v>
      </c>
      <c r="Q76" s="24" t="n">
        <f aca="false">M76+P76</f>
        <v>22</v>
      </c>
    </row>
    <row r="77" customFormat="false" ht="15" hidden="false" customHeight="true" outlineLevel="0" collapsed="false">
      <c r="A77" s="37" t="n">
        <f aca="false">WORKDAY(A76,1)</f>
        <v>46280</v>
      </c>
      <c r="B77" s="24" t="str">
        <f aca="false">IF(COUNTIF($B$5:$F$5,A77)&gt;0,"Dédié","Normal")</f>
        <v>Normal</v>
      </c>
      <c r="C77" s="24" t="n">
        <f aca="false">G76</f>
        <v>13</v>
      </c>
      <c r="D77" s="24" t="str">
        <f aca="false">IF(C77&gt;=TotalStations,"Terminé",INDEX($A$10:$A$25,MATCH(SUMPRODUCT(($A$10:$A$25&lt;&gt;"")*($D$10:$D$25&lt;=C77))+1,$E$10:$E$25,0)))</f>
        <v>Single 1</v>
      </c>
      <c r="E77" s="24" t="n">
        <f aca="false">IF(C77&gt;=TotalStations,"",INDEX($C$10:$C$25,MATCH(SUMPRODUCT(($A$10:$A$25&lt;&gt;"")*($D$10:$D$25&lt;=C77))+1,$E$10:$E$25,0)))</f>
        <v>180</v>
      </c>
      <c r="F77" s="24" t="n">
        <f aca="false">IF(C77&gt;=TotalStations,0,IF(B77="Dédié",MIN(FLOOR(420/E77,1),(TotalStations-C77)),MIN(1,(TotalStations-C77))))</f>
        <v>1</v>
      </c>
      <c r="G77" s="24" t="n">
        <f aca="false">C77+F77</f>
        <v>14</v>
      </c>
      <c r="H77" s="24" t="n">
        <f aca="false">L76</f>
        <v>22</v>
      </c>
      <c r="I77" s="24" t="str">
        <f aca="false">IF(H77&gt;=TotalStations,"Terminé",INDEX($A$10:$A$25,MATCH(SUMPRODUCT(($A$10:$A$25&lt;&gt;"")*($D$10:$D$25&lt;=H77))+1,$E$10:$E$25,0)))</f>
        <v>Single 1</v>
      </c>
      <c r="J77" s="24" t="n">
        <f aca="false">IF(H77&gt;=TotalStations,"",INDEX($C$10:$C$25,MATCH(SUMPRODUCT(($A$10:$A$25&lt;&gt;"")*($D$10:$D$25&lt;=H77))+1,$E$10:$E$25,0)))</f>
        <v>180</v>
      </c>
      <c r="K77" s="24" t="n">
        <f aca="false">IF(H77&gt;=TotalStations,0,IF(B77="Dédié",MIN(FLOOR(420/J77,1),(TotalStations-H77)),MIN(2,(TotalStations-H77))))</f>
        <v>2</v>
      </c>
      <c r="L77" s="24" t="n">
        <f aca="false">H77+K77</f>
        <v>24</v>
      </c>
      <c r="M77" s="24" t="n">
        <f aca="false">Q76</f>
        <v>22</v>
      </c>
      <c r="N77" s="24" t="str">
        <f aca="false">IF(M77&gt;=TotalStations,"Terminé",INDEX($A$10:$A$25,MATCH(SUMPRODUCT(($A$10:$A$25&lt;&gt;"")*($D$10:$D$25&lt;=M77))+1,$E$10:$E$25,0)))</f>
        <v>Single 1</v>
      </c>
      <c r="O77" s="24" t="n">
        <f aca="false">IF(M77&gt;=TotalStations,"",INDEX($C$10:$C$25,MATCH(SUMPRODUCT(($A$10:$A$25&lt;&gt;"")*($D$10:$D$25&lt;=M77))+1,$E$10:$E$25,0)))</f>
        <v>180</v>
      </c>
      <c r="P77" s="24" t="n">
        <f aca="false">IF(M77&gt;=TotalStations,0,MIN(FLOOR(420/O77,1),(TotalStations-M77)))</f>
        <v>2</v>
      </c>
      <c r="Q77" s="24" t="n">
        <f aca="false">M77+P77</f>
        <v>24</v>
      </c>
    </row>
    <row r="78" customFormat="false" ht="15" hidden="false" customHeight="true" outlineLevel="0" collapsed="false">
      <c r="A78" s="37" t="n">
        <f aca="false">WORKDAY(A77,1)</f>
        <v>46281</v>
      </c>
      <c r="B78" s="24" t="str">
        <f aca="false">IF(COUNTIF($B$5:$F$5,A78)&gt;0,"Dédié","Normal")</f>
        <v>Normal</v>
      </c>
      <c r="C78" s="24" t="n">
        <f aca="false">G77</f>
        <v>14</v>
      </c>
      <c r="D78" s="24" t="str">
        <f aca="false">IF(C78&gt;=TotalStations,"Terminé",INDEX($A$10:$A$25,MATCH(SUMPRODUCT(($A$10:$A$25&lt;&gt;"")*($D$10:$D$25&lt;=C78))+1,$E$10:$E$25,0)))</f>
        <v>Single 1</v>
      </c>
      <c r="E78" s="24" t="n">
        <f aca="false">IF(C78&gt;=TotalStations,"",INDEX($C$10:$C$25,MATCH(SUMPRODUCT(($A$10:$A$25&lt;&gt;"")*($D$10:$D$25&lt;=C78))+1,$E$10:$E$25,0)))</f>
        <v>180</v>
      </c>
      <c r="F78" s="24" t="n">
        <f aca="false">IF(C78&gt;=TotalStations,0,IF(B78="Dédié",MIN(FLOOR(420/E78,1),(TotalStations-C78)),MIN(1,(TotalStations-C78))))</f>
        <v>1</v>
      </c>
      <c r="G78" s="24" t="n">
        <f aca="false">C78+F78</f>
        <v>15</v>
      </c>
      <c r="H78" s="24" t="n">
        <f aca="false">L77</f>
        <v>24</v>
      </c>
      <c r="I78" s="24" t="str">
        <f aca="false">IF(H78&gt;=TotalStations,"Terminé",INDEX($A$10:$A$25,MATCH(SUMPRODUCT(($A$10:$A$25&lt;&gt;"")*($D$10:$D$25&lt;=H78))+1,$E$10:$E$25,0)))</f>
        <v>Single 1</v>
      </c>
      <c r="J78" s="24" t="n">
        <f aca="false">IF(H78&gt;=TotalStations,"",INDEX($C$10:$C$25,MATCH(SUMPRODUCT(($A$10:$A$25&lt;&gt;"")*($D$10:$D$25&lt;=H78))+1,$E$10:$E$25,0)))</f>
        <v>180</v>
      </c>
      <c r="K78" s="24" t="n">
        <f aca="false">IF(H78&gt;=TotalStations,0,IF(B78="Dédié",MIN(FLOOR(420/J78,1),(TotalStations-H78)),MIN(2,(TotalStations-H78))))</f>
        <v>2</v>
      </c>
      <c r="L78" s="24" t="n">
        <f aca="false">H78+K78</f>
        <v>26</v>
      </c>
      <c r="M78" s="24" t="n">
        <f aca="false">Q77</f>
        <v>24</v>
      </c>
      <c r="N78" s="24" t="str">
        <f aca="false">IF(M78&gt;=TotalStations,"Terminé",INDEX($A$10:$A$25,MATCH(SUMPRODUCT(($A$10:$A$25&lt;&gt;"")*($D$10:$D$25&lt;=M78))+1,$E$10:$E$25,0)))</f>
        <v>Single 1</v>
      </c>
      <c r="O78" s="24" t="n">
        <f aca="false">IF(M78&gt;=TotalStations,"",INDEX($C$10:$C$25,MATCH(SUMPRODUCT(($A$10:$A$25&lt;&gt;"")*($D$10:$D$25&lt;=M78))+1,$E$10:$E$25,0)))</f>
        <v>180</v>
      </c>
      <c r="P78" s="24" t="n">
        <f aca="false">IF(M78&gt;=TotalStations,0,MIN(FLOOR(420/O78,1),(TotalStations-M78)))</f>
        <v>2</v>
      </c>
      <c r="Q78" s="24" t="n">
        <f aca="false">M78+P78</f>
        <v>26</v>
      </c>
    </row>
    <row r="79" customFormat="false" ht="15" hidden="false" customHeight="true" outlineLevel="0" collapsed="false">
      <c r="A79" s="37" t="n">
        <f aca="false">WORKDAY(A78,1)</f>
        <v>46282</v>
      </c>
      <c r="B79" s="24" t="str">
        <f aca="false">IF(COUNTIF($B$5:$F$5,A79)&gt;0,"Dédié","Normal")</f>
        <v>Normal</v>
      </c>
      <c r="C79" s="24" t="n">
        <f aca="false">G78</f>
        <v>15</v>
      </c>
      <c r="D79" s="24" t="str">
        <f aca="false">IF(C79&gt;=TotalStations,"Terminé",INDEX($A$10:$A$25,MATCH(SUMPRODUCT(($A$10:$A$25&lt;&gt;"")*($D$10:$D$25&lt;=C79))+1,$E$10:$E$25,0)))</f>
        <v>Single 1</v>
      </c>
      <c r="E79" s="24" t="n">
        <f aca="false">IF(C79&gt;=TotalStations,"",INDEX($C$10:$C$25,MATCH(SUMPRODUCT(($A$10:$A$25&lt;&gt;"")*($D$10:$D$25&lt;=C79))+1,$E$10:$E$25,0)))</f>
        <v>180</v>
      </c>
      <c r="F79" s="24" t="n">
        <f aca="false">IF(C79&gt;=TotalStations,0,IF(B79="Dédié",MIN(FLOOR(420/E79,1),(TotalStations-C79)),MIN(1,(TotalStations-C79))))</f>
        <v>1</v>
      </c>
      <c r="G79" s="24" t="n">
        <f aca="false">C79+F79</f>
        <v>16</v>
      </c>
      <c r="H79" s="24" t="n">
        <f aca="false">L78</f>
        <v>26</v>
      </c>
      <c r="I79" s="24" t="str">
        <f aca="false">IF(H79&gt;=TotalStations,"Terminé",INDEX($A$10:$A$25,MATCH(SUMPRODUCT(($A$10:$A$25&lt;&gt;"")*($D$10:$D$25&lt;=H79))+1,$E$10:$E$25,0)))</f>
        <v>Single 2</v>
      </c>
      <c r="J79" s="24" t="n">
        <f aca="false">IF(H79&gt;=TotalStations,"",INDEX($C$10:$C$25,MATCH(SUMPRODUCT(($A$10:$A$25&lt;&gt;"")*($D$10:$D$25&lt;=H79))+1,$E$10:$E$25,0)))</f>
        <v>180</v>
      </c>
      <c r="K79" s="24" t="n">
        <f aca="false">IF(H79&gt;=TotalStations,0,IF(B79="Dédié",MIN(FLOOR(420/J79,1),(TotalStations-H79)),MIN(2,(TotalStations-H79))))</f>
        <v>2</v>
      </c>
      <c r="L79" s="24" t="n">
        <f aca="false">H79+K79</f>
        <v>28</v>
      </c>
      <c r="M79" s="24" t="n">
        <f aca="false">Q78</f>
        <v>26</v>
      </c>
      <c r="N79" s="24" t="str">
        <f aca="false">IF(M79&gt;=TotalStations,"Terminé",INDEX($A$10:$A$25,MATCH(SUMPRODUCT(($A$10:$A$25&lt;&gt;"")*($D$10:$D$25&lt;=M79))+1,$E$10:$E$25,0)))</f>
        <v>Single 2</v>
      </c>
      <c r="O79" s="24" t="n">
        <f aca="false">IF(M79&gt;=TotalStations,"",INDEX($C$10:$C$25,MATCH(SUMPRODUCT(($A$10:$A$25&lt;&gt;"")*($D$10:$D$25&lt;=M79))+1,$E$10:$E$25,0)))</f>
        <v>180</v>
      </c>
      <c r="P79" s="24" t="n">
        <f aca="false">IF(M79&gt;=TotalStations,0,MIN(FLOOR(420/O79,1),(TotalStations-M79)))</f>
        <v>2</v>
      </c>
      <c r="Q79" s="24" t="n">
        <f aca="false">M79+P79</f>
        <v>28</v>
      </c>
    </row>
    <row r="80" customFormat="false" ht="15" hidden="false" customHeight="true" outlineLevel="0" collapsed="false">
      <c r="A80" s="37" t="n">
        <f aca="false">WORKDAY(A79,1)</f>
        <v>46283</v>
      </c>
      <c r="B80" s="24" t="str">
        <f aca="false">IF(COUNTIF($B$5:$F$5,A80)&gt;0,"Dédié","Normal")</f>
        <v>Normal</v>
      </c>
      <c r="C80" s="24" t="n">
        <f aca="false">G79</f>
        <v>16</v>
      </c>
      <c r="D80" s="24" t="str">
        <f aca="false">IF(C80&gt;=TotalStations,"Terminé",INDEX($A$10:$A$25,MATCH(SUMPRODUCT(($A$10:$A$25&lt;&gt;"")*($D$10:$D$25&lt;=C80))+1,$E$10:$E$25,0)))</f>
        <v>Single 1</v>
      </c>
      <c r="E80" s="24" t="n">
        <f aca="false">IF(C80&gt;=TotalStations,"",INDEX($C$10:$C$25,MATCH(SUMPRODUCT(($A$10:$A$25&lt;&gt;"")*($D$10:$D$25&lt;=C80))+1,$E$10:$E$25,0)))</f>
        <v>180</v>
      </c>
      <c r="F80" s="24" t="n">
        <f aca="false">IF(C80&gt;=TotalStations,0,IF(B80="Dédié",MIN(FLOOR(420/E80,1),(TotalStations-C80)),MIN(1,(TotalStations-C80))))</f>
        <v>1</v>
      </c>
      <c r="G80" s="24" t="n">
        <f aca="false">C80+F80</f>
        <v>17</v>
      </c>
      <c r="H80" s="24" t="n">
        <f aca="false">L79</f>
        <v>28</v>
      </c>
      <c r="I80" s="24" t="str">
        <f aca="false">IF(H80&gt;=TotalStations,"Terminé",INDEX($A$10:$A$25,MATCH(SUMPRODUCT(($A$10:$A$25&lt;&gt;"")*($D$10:$D$25&lt;=H80))+1,$E$10:$E$25,0)))</f>
        <v>Single 2</v>
      </c>
      <c r="J80" s="24" t="n">
        <f aca="false">IF(H80&gt;=TotalStations,"",INDEX($C$10:$C$25,MATCH(SUMPRODUCT(($A$10:$A$25&lt;&gt;"")*($D$10:$D$25&lt;=H80))+1,$E$10:$E$25,0)))</f>
        <v>180</v>
      </c>
      <c r="K80" s="24" t="n">
        <f aca="false">IF(H80&gt;=TotalStations,0,IF(B80="Dédié",MIN(FLOOR(420/J80,1),(TotalStations-H80)),MIN(2,(TotalStations-H80))))</f>
        <v>2</v>
      </c>
      <c r="L80" s="24" t="n">
        <f aca="false">H80+K80</f>
        <v>30</v>
      </c>
      <c r="M80" s="24" t="n">
        <f aca="false">Q79</f>
        <v>28</v>
      </c>
      <c r="N80" s="24" t="str">
        <f aca="false">IF(M80&gt;=TotalStations,"Terminé",INDEX($A$10:$A$25,MATCH(SUMPRODUCT(($A$10:$A$25&lt;&gt;"")*($D$10:$D$25&lt;=M80))+1,$E$10:$E$25,0)))</f>
        <v>Single 2</v>
      </c>
      <c r="O80" s="24" t="n">
        <f aca="false">IF(M80&gt;=TotalStations,"",INDEX($C$10:$C$25,MATCH(SUMPRODUCT(($A$10:$A$25&lt;&gt;"")*($D$10:$D$25&lt;=M80))+1,$E$10:$E$25,0)))</f>
        <v>180</v>
      </c>
      <c r="P80" s="24" t="n">
        <f aca="false">IF(M80&gt;=TotalStations,0,MIN(FLOOR(420/O80,1),(TotalStations-M80)))</f>
        <v>2</v>
      </c>
      <c r="Q80" s="24" t="n">
        <f aca="false">M80+P80</f>
        <v>30</v>
      </c>
    </row>
    <row r="81" customFormat="false" ht="15" hidden="false" customHeight="true" outlineLevel="0" collapsed="false">
      <c r="A81" s="37" t="n">
        <f aca="false">WORKDAY(A80,1)</f>
        <v>46286</v>
      </c>
      <c r="B81" s="24" t="str">
        <f aca="false">IF(COUNTIF($B$5:$F$5,A81)&gt;0,"Dédié","Normal")</f>
        <v>Normal</v>
      </c>
      <c r="C81" s="24" t="n">
        <f aca="false">G80</f>
        <v>17</v>
      </c>
      <c r="D81" s="24" t="str">
        <f aca="false">IF(C81&gt;=TotalStations,"Terminé",INDEX($A$10:$A$25,MATCH(SUMPRODUCT(($A$10:$A$25&lt;&gt;"")*($D$10:$D$25&lt;=C81))+1,$E$10:$E$25,0)))</f>
        <v>Single 1</v>
      </c>
      <c r="E81" s="24" t="n">
        <f aca="false">IF(C81&gt;=TotalStations,"",INDEX($C$10:$C$25,MATCH(SUMPRODUCT(($A$10:$A$25&lt;&gt;"")*($D$10:$D$25&lt;=C81))+1,$E$10:$E$25,0)))</f>
        <v>180</v>
      </c>
      <c r="F81" s="24" t="n">
        <f aca="false">IF(C81&gt;=TotalStations,0,IF(B81="Dédié",MIN(FLOOR(420/E81,1),(TotalStations-C81)),MIN(1,(TotalStations-C81))))</f>
        <v>1</v>
      </c>
      <c r="G81" s="24" t="n">
        <f aca="false">C81+F81</f>
        <v>18</v>
      </c>
      <c r="H81" s="24" t="n">
        <f aca="false">L80</f>
        <v>30</v>
      </c>
      <c r="I81" s="24" t="str">
        <f aca="false">IF(H81&gt;=TotalStations,"Terminé",INDEX($A$10:$A$25,MATCH(SUMPRODUCT(($A$10:$A$25&lt;&gt;"")*($D$10:$D$25&lt;=H81))+1,$E$10:$E$25,0)))</f>
        <v>Single 2</v>
      </c>
      <c r="J81" s="24" t="n">
        <f aca="false">IF(H81&gt;=TotalStations,"",INDEX($C$10:$C$25,MATCH(SUMPRODUCT(($A$10:$A$25&lt;&gt;"")*($D$10:$D$25&lt;=H81))+1,$E$10:$E$25,0)))</f>
        <v>180</v>
      </c>
      <c r="K81" s="24" t="n">
        <f aca="false">IF(H81&gt;=TotalStations,0,IF(B81="Dédié",MIN(FLOOR(420/J81,1),(TotalStations-H81)),MIN(2,(TotalStations-H81))))</f>
        <v>2</v>
      </c>
      <c r="L81" s="24" t="n">
        <f aca="false">H81+K81</f>
        <v>32</v>
      </c>
      <c r="M81" s="24" t="n">
        <f aca="false">Q80</f>
        <v>30</v>
      </c>
      <c r="N81" s="24" t="str">
        <f aca="false">IF(M81&gt;=TotalStations,"Terminé",INDEX($A$10:$A$25,MATCH(SUMPRODUCT(($A$10:$A$25&lt;&gt;"")*($D$10:$D$25&lt;=M81))+1,$E$10:$E$25,0)))</f>
        <v>Single 2</v>
      </c>
      <c r="O81" s="24" t="n">
        <f aca="false">IF(M81&gt;=TotalStations,"",INDEX($C$10:$C$25,MATCH(SUMPRODUCT(($A$10:$A$25&lt;&gt;"")*($D$10:$D$25&lt;=M81))+1,$E$10:$E$25,0)))</f>
        <v>180</v>
      </c>
      <c r="P81" s="24" t="n">
        <f aca="false">IF(M81&gt;=TotalStations,0,MIN(FLOOR(420/O81,1),(TotalStations-M81)))</f>
        <v>2</v>
      </c>
      <c r="Q81" s="24" t="n">
        <f aca="false">M81+P81</f>
        <v>32</v>
      </c>
    </row>
    <row r="82" customFormat="false" ht="15" hidden="false" customHeight="true" outlineLevel="0" collapsed="false">
      <c r="A82" s="37" t="n">
        <f aca="false">WORKDAY(A81,1)</f>
        <v>46287</v>
      </c>
      <c r="B82" s="24" t="str">
        <f aca="false">IF(COUNTIF($B$5:$F$5,A82)&gt;0,"Dédié","Normal")</f>
        <v>Normal</v>
      </c>
      <c r="C82" s="24" t="n">
        <f aca="false">G81</f>
        <v>18</v>
      </c>
      <c r="D82" s="24" t="str">
        <f aca="false">IF(C82&gt;=TotalStations,"Terminé",INDEX($A$10:$A$25,MATCH(SUMPRODUCT(($A$10:$A$25&lt;&gt;"")*($D$10:$D$25&lt;=C82))+1,$E$10:$E$25,0)))</f>
        <v>Single 1</v>
      </c>
      <c r="E82" s="24" t="n">
        <f aca="false">IF(C82&gt;=TotalStations,"",INDEX($C$10:$C$25,MATCH(SUMPRODUCT(($A$10:$A$25&lt;&gt;"")*($D$10:$D$25&lt;=C82))+1,$E$10:$E$25,0)))</f>
        <v>180</v>
      </c>
      <c r="F82" s="24" t="n">
        <f aca="false">IF(C82&gt;=TotalStations,0,IF(B82="Dédié",MIN(FLOOR(420/E82,1),(TotalStations-C82)),MIN(1,(TotalStations-C82))))</f>
        <v>1</v>
      </c>
      <c r="G82" s="24" t="n">
        <f aca="false">C82+F82</f>
        <v>19</v>
      </c>
      <c r="H82" s="24" t="n">
        <f aca="false">L81</f>
        <v>32</v>
      </c>
      <c r="I82" s="24" t="str">
        <f aca="false">IF(H82&gt;=TotalStations,"Terminé",INDEX($A$10:$A$25,MATCH(SUMPRODUCT(($A$10:$A$25&lt;&gt;"")*($D$10:$D$25&lt;=H82))+1,$E$10:$E$25,0)))</f>
        <v>Single 2</v>
      </c>
      <c r="J82" s="24" t="n">
        <f aca="false">IF(H82&gt;=TotalStations,"",INDEX($C$10:$C$25,MATCH(SUMPRODUCT(($A$10:$A$25&lt;&gt;"")*($D$10:$D$25&lt;=H82))+1,$E$10:$E$25,0)))</f>
        <v>180</v>
      </c>
      <c r="K82" s="24" t="n">
        <f aca="false">IF(H82&gt;=TotalStations,0,IF(B82="Dédié",MIN(FLOOR(420/J82,1),(TotalStations-H82)),MIN(2,(TotalStations-H82))))</f>
        <v>2</v>
      </c>
      <c r="L82" s="24" t="n">
        <f aca="false">H82+K82</f>
        <v>34</v>
      </c>
      <c r="M82" s="24" t="n">
        <f aca="false">Q81</f>
        <v>32</v>
      </c>
      <c r="N82" s="24" t="str">
        <f aca="false">IF(M82&gt;=TotalStations,"Terminé",INDEX($A$10:$A$25,MATCH(SUMPRODUCT(($A$10:$A$25&lt;&gt;"")*($D$10:$D$25&lt;=M82))+1,$E$10:$E$25,0)))</f>
        <v>Single 2</v>
      </c>
      <c r="O82" s="24" t="n">
        <f aca="false">IF(M82&gt;=TotalStations,"",INDEX($C$10:$C$25,MATCH(SUMPRODUCT(($A$10:$A$25&lt;&gt;"")*($D$10:$D$25&lt;=M82))+1,$E$10:$E$25,0)))</f>
        <v>180</v>
      </c>
      <c r="P82" s="24" t="n">
        <f aca="false">IF(M82&gt;=TotalStations,0,MIN(FLOOR(420/O82,1),(TotalStations-M82)))</f>
        <v>2</v>
      </c>
      <c r="Q82" s="24" t="n">
        <f aca="false">M82+P82</f>
        <v>34</v>
      </c>
    </row>
    <row r="83" customFormat="false" ht="15" hidden="false" customHeight="true" outlineLevel="0" collapsed="false">
      <c r="A83" s="37" t="n">
        <f aca="false">WORKDAY(A82,1)</f>
        <v>46288</v>
      </c>
      <c r="B83" s="24" t="str">
        <f aca="false">IF(COUNTIF($B$5:$F$5,A83)&gt;0,"Dédié","Normal")</f>
        <v>Normal</v>
      </c>
      <c r="C83" s="24" t="n">
        <f aca="false">G82</f>
        <v>19</v>
      </c>
      <c r="D83" s="24" t="str">
        <f aca="false">IF(C83&gt;=TotalStations,"Terminé",INDEX($A$10:$A$25,MATCH(SUMPRODUCT(($A$10:$A$25&lt;&gt;"")*($D$10:$D$25&lt;=C83))+1,$E$10:$E$25,0)))</f>
        <v>Single 1</v>
      </c>
      <c r="E83" s="24" t="n">
        <f aca="false">IF(C83&gt;=TotalStations,"",INDEX($C$10:$C$25,MATCH(SUMPRODUCT(($A$10:$A$25&lt;&gt;"")*($D$10:$D$25&lt;=C83))+1,$E$10:$E$25,0)))</f>
        <v>180</v>
      </c>
      <c r="F83" s="24" t="n">
        <f aca="false">IF(C83&gt;=TotalStations,0,IF(B83="Dédié",MIN(FLOOR(420/E83,1),(TotalStations-C83)),MIN(1,(TotalStations-C83))))</f>
        <v>1</v>
      </c>
      <c r="G83" s="24" t="n">
        <f aca="false">C83+F83</f>
        <v>20</v>
      </c>
      <c r="H83" s="24" t="n">
        <f aca="false">L82</f>
        <v>34</v>
      </c>
      <c r="I83" s="24" t="str">
        <f aca="false">IF(H83&gt;=TotalStations,"Terminé",INDEX($A$10:$A$25,MATCH(SUMPRODUCT(($A$10:$A$25&lt;&gt;"")*($D$10:$D$25&lt;=H83))+1,$E$10:$E$25,0)))</f>
        <v>Single 2</v>
      </c>
      <c r="J83" s="24" t="n">
        <f aca="false">IF(H83&gt;=TotalStations,"",INDEX($C$10:$C$25,MATCH(SUMPRODUCT(($A$10:$A$25&lt;&gt;"")*($D$10:$D$25&lt;=H83))+1,$E$10:$E$25,0)))</f>
        <v>180</v>
      </c>
      <c r="K83" s="24" t="n">
        <f aca="false">IF(H83&gt;=TotalStations,0,IF(B83="Dédié",MIN(FLOOR(420/J83,1),(TotalStations-H83)),MIN(2,(TotalStations-H83))))</f>
        <v>2</v>
      </c>
      <c r="L83" s="24" t="n">
        <f aca="false">H83+K83</f>
        <v>36</v>
      </c>
      <c r="M83" s="24" t="n">
        <f aca="false">Q82</f>
        <v>34</v>
      </c>
      <c r="N83" s="24" t="str">
        <f aca="false">IF(M83&gt;=TotalStations,"Terminé",INDEX($A$10:$A$25,MATCH(SUMPRODUCT(($A$10:$A$25&lt;&gt;"")*($D$10:$D$25&lt;=M83))+1,$E$10:$E$25,0)))</f>
        <v>Single 2</v>
      </c>
      <c r="O83" s="24" t="n">
        <f aca="false">IF(M83&gt;=TotalStations,"",INDEX($C$10:$C$25,MATCH(SUMPRODUCT(($A$10:$A$25&lt;&gt;"")*($D$10:$D$25&lt;=M83))+1,$E$10:$E$25,0)))</f>
        <v>180</v>
      </c>
      <c r="P83" s="24" t="n">
        <f aca="false">IF(M83&gt;=TotalStations,0,MIN(FLOOR(420/O83,1),(TotalStations-M83)))</f>
        <v>2</v>
      </c>
      <c r="Q83" s="24" t="n">
        <f aca="false">M83+P83</f>
        <v>36</v>
      </c>
    </row>
    <row r="84" customFormat="false" ht="15" hidden="false" customHeight="true" outlineLevel="0" collapsed="false">
      <c r="A84" s="37" t="n">
        <f aca="false">WORKDAY(A83,1)</f>
        <v>46289</v>
      </c>
      <c r="B84" s="24" t="str">
        <f aca="false">IF(COUNTIF($B$5:$F$5,A84)&gt;0,"Dédié","Normal")</f>
        <v>Normal</v>
      </c>
      <c r="C84" s="24" t="n">
        <f aca="false">G83</f>
        <v>20</v>
      </c>
      <c r="D84" s="24" t="str">
        <f aca="false">IF(C84&gt;=TotalStations,"Terminé",INDEX($A$10:$A$25,MATCH(SUMPRODUCT(($A$10:$A$25&lt;&gt;"")*($D$10:$D$25&lt;=C84))+1,$E$10:$E$25,0)))</f>
        <v>Single 1</v>
      </c>
      <c r="E84" s="24" t="n">
        <f aca="false">IF(C84&gt;=TotalStations,"",INDEX($C$10:$C$25,MATCH(SUMPRODUCT(($A$10:$A$25&lt;&gt;"")*($D$10:$D$25&lt;=C84))+1,$E$10:$E$25,0)))</f>
        <v>180</v>
      </c>
      <c r="F84" s="24" t="n">
        <f aca="false">IF(C84&gt;=TotalStations,0,IF(B84="Dédié",MIN(FLOOR(420/E84,1),(TotalStations-C84)),MIN(1,(TotalStations-C84))))</f>
        <v>1</v>
      </c>
      <c r="G84" s="24" t="n">
        <f aca="false">C84+F84</f>
        <v>21</v>
      </c>
      <c r="H84" s="24" t="n">
        <f aca="false">L83</f>
        <v>36</v>
      </c>
      <c r="I84" s="24" t="str">
        <f aca="false">IF(H84&gt;=TotalStations,"Terminé",INDEX($A$10:$A$25,MATCH(SUMPRODUCT(($A$10:$A$25&lt;&gt;"")*($D$10:$D$25&lt;=H84))+1,$E$10:$E$25,0)))</f>
        <v>Single 2</v>
      </c>
      <c r="J84" s="24" t="n">
        <f aca="false">IF(H84&gt;=TotalStations,"",INDEX($C$10:$C$25,MATCH(SUMPRODUCT(($A$10:$A$25&lt;&gt;"")*($D$10:$D$25&lt;=H84))+1,$E$10:$E$25,0)))</f>
        <v>180</v>
      </c>
      <c r="K84" s="24" t="n">
        <f aca="false">IF(H84&gt;=TotalStations,0,IF(B84="Dédié",MIN(FLOOR(420/J84,1),(TotalStations-H84)),MIN(2,(TotalStations-H84))))</f>
        <v>2</v>
      </c>
      <c r="L84" s="24" t="n">
        <f aca="false">H84+K84</f>
        <v>38</v>
      </c>
      <c r="M84" s="24" t="n">
        <f aca="false">Q83</f>
        <v>36</v>
      </c>
      <c r="N84" s="24" t="str">
        <f aca="false">IF(M84&gt;=TotalStations,"Terminé",INDEX($A$10:$A$25,MATCH(SUMPRODUCT(($A$10:$A$25&lt;&gt;"")*($D$10:$D$25&lt;=M84))+1,$E$10:$E$25,0)))</f>
        <v>Single 2</v>
      </c>
      <c r="O84" s="24" t="n">
        <f aca="false">IF(M84&gt;=TotalStations,"",INDEX($C$10:$C$25,MATCH(SUMPRODUCT(($A$10:$A$25&lt;&gt;"")*($D$10:$D$25&lt;=M84))+1,$E$10:$E$25,0)))</f>
        <v>180</v>
      </c>
      <c r="P84" s="24" t="n">
        <f aca="false">IF(M84&gt;=TotalStations,0,MIN(FLOOR(420/O84,1),(TotalStations-M84)))</f>
        <v>2</v>
      </c>
      <c r="Q84" s="24" t="n">
        <f aca="false">M84+P84</f>
        <v>38</v>
      </c>
    </row>
    <row r="85" customFormat="false" ht="15" hidden="false" customHeight="true" outlineLevel="0" collapsed="false">
      <c r="A85" s="37" t="n">
        <f aca="false">WORKDAY(A84,1)</f>
        <v>46290</v>
      </c>
      <c r="B85" s="24" t="str">
        <f aca="false">IF(COUNTIF($B$5:$F$5,A85)&gt;0,"Dédié","Normal")</f>
        <v>Normal</v>
      </c>
      <c r="C85" s="24" t="n">
        <f aca="false">G84</f>
        <v>21</v>
      </c>
      <c r="D85" s="24" t="str">
        <f aca="false">IF(C85&gt;=TotalStations,"Terminé",INDEX($A$10:$A$25,MATCH(SUMPRODUCT(($A$10:$A$25&lt;&gt;"")*($D$10:$D$25&lt;=C85))+1,$E$10:$E$25,0)))</f>
        <v>Single 1</v>
      </c>
      <c r="E85" s="24" t="n">
        <f aca="false">IF(C85&gt;=TotalStations,"",INDEX($C$10:$C$25,MATCH(SUMPRODUCT(($A$10:$A$25&lt;&gt;"")*($D$10:$D$25&lt;=C85))+1,$E$10:$E$25,0)))</f>
        <v>180</v>
      </c>
      <c r="F85" s="24" t="n">
        <f aca="false">IF(C85&gt;=TotalStations,0,IF(B85="Dédié",MIN(FLOOR(420/E85,1),(TotalStations-C85)),MIN(1,(TotalStations-C85))))</f>
        <v>1</v>
      </c>
      <c r="G85" s="24" t="n">
        <f aca="false">C85+F85</f>
        <v>22</v>
      </c>
      <c r="H85" s="24" t="n">
        <f aca="false">L84</f>
        <v>38</v>
      </c>
      <c r="I85" s="24" t="str">
        <f aca="false">IF(H85&gt;=TotalStations,"Terminé",INDEX($A$10:$A$25,MATCH(SUMPRODUCT(($A$10:$A$25&lt;&gt;"")*($D$10:$D$25&lt;=H85))+1,$E$10:$E$25,0)))</f>
        <v>Single 2</v>
      </c>
      <c r="J85" s="24" t="n">
        <f aca="false">IF(H85&gt;=TotalStations,"",INDEX($C$10:$C$25,MATCH(SUMPRODUCT(($A$10:$A$25&lt;&gt;"")*($D$10:$D$25&lt;=H85))+1,$E$10:$E$25,0)))</f>
        <v>180</v>
      </c>
      <c r="K85" s="24" t="n">
        <f aca="false">IF(H85&gt;=TotalStations,0,IF(B85="Dédié",MIN(FLOOR(420/J85,1),(TotalStations-H85)),MIN(2,(TotalStations-H85))))</f>
        <v>2</v>
      </c>
      <c r="L85" s="24" t="n">
        <f aca="false">H85+K85</f>
        <v>40</v>
      </c>
      <c r="M85" s="24" t="n">
        <f aca="false">Q84</f>
        <v>38</v>
      </c>
      <c r="N85" s="24" t="str">
        <f aca="false">IF(M85&gt;=TotalStations,"Terminé",INDEX($A$10:$A$25,MATCH(SUMPRODUCT(($A$10:$A$25&lt;&gt;"")*($D$10:$D$25&lt;=M85))+1,$E$10:$E$25,0)))</f>
        <v>Single 2</v>
      </c>
      <c r="O85" s="24" t="n">
        <f aca="false">IF(M85&gt;=TotalStations,"",INDEX($C$10:$C$25,MATCH(SUMPRODUCT(($A$10:$A$25&lt;&gt;"")*($D$10:$D$25&lt;=M85))+1,$E$10:$E$25,0)))</f>
        <v>180</v>
      </c>
      <c r="P85" s="24" t="n">
        <f aca="false">IF(M85&gt;=TotalStations,0,MIN(FLOOR(420/O85,1),(TotalStations-M85)))</f>
        <v>2</v>
      </c>
      <c r="Q85" s="24" t="n">
        <f aca="false">M85+P85</f>
        <v>40</v>
      </c>
    </row>
    <row r="86" customFormat="false" ht="15" hidden="false" customHeight="true" outlineLevel="0" collapsed="false">
      <c r="A86" s="37" t="n">
        <f aca="false">WORKDAY(A85,1)</f>
        <v>46293</v>
      </c>
      <c r="B86" s="24" t="str">
        <f aca="false">IF(COUNTIF($B$5:$F$5,A86)&gt;0,"Dédié","Normal")</f>
        <v>Normal</v>
      </c>
      <c r="C86" s="24" t="n">
        <f aca="false">G85</f>
        <v>22</v>
      </c>
      <c r="D86" s="24" t="str">
        <f aca="false">IF(C86&gt;=TotalStations,"Terminé",INDEX($A$10:$A$25,MATCH(SUMPRODUCT(($A$10:$A$25&lt;&gt;"")*($D$10:$D$25&lt;=C86))+1,$E$10:$E$25,0)))</f>
        <v>Single 1</v>
      </c>
      <c r="E86" s="24" t="n">
        <f aca="false">IF(C86&gt;=TotalStations,"",INDEX($C$10:$C$25,MATCH(SUMPRODUCT(($A$10:$A$25&lt;&gt;"")*($D$10:$D$25&lt;=C86))+1,$E$10:$E$25,0)))</f>
        <v>180</v>
      </c>
      <c r="F86" s="24" t="n">
        <f aca="false">IF(C86&gt;=TotalStations,0,IF(B86="Dédié",MIN(FLOOR(420/E86,1),(TotalStations-C86)),MIN(1,(TotalStations-C86))))</f>
        <v>1</v>
      </c>
      <c r="G86" s="24" t="n">
        <f aca="false">C86+F86</f>
        <v>23</v>
      </c>
      <c r="H86" s="24" t="n">
        <f aca="false">L85</f>
        <v>40</v>
      </c>
      <c r="I86" s="24" t="str">
        <f aca="false">IF(H86&gt;=TotalStations,"Terminé",INDEX($A$10:$A$25,MATCH(SUMPRODUCT(($A$10:$A$25&lt;&gt;"")*($D$10:$D$25&lt;=H86))+1,$E$10:$E$25,0)))</f>
        <v>Single 2</v>
      </c>
      <c r="J86" s="24" t="n">
        <f aca="false">IF(H86&gt;=TotalStations,"",INDEX($C$10:$C$25,MATCH(SUMPRODUCT(($A$10:$A$25&lt;&gt;"")*($D$10:$D$25&lt;=H86))+1,$E$10:$E$25,0)))</f>
        <v>180</v>
      </c>
      <c r="K86" s="24" t="n">
        <f aca="false">IF(H86&gt;=TotalStations,0,IF(B86="Dédié",MIN(FLOOR(420/J86,1),(TotalStations-H86)),MIN(2,(TotalStations-H86))))</f>
        <v>2</v>
      </c>
      <c r="L86" s="24" t="n">
        <f aca="false">H86+K86</f>
        <v>42</v>
      </c>
      <c r="M86" s="24" t="n">
        <f aca="false">Q85</f>
        <v>40</v>
      </c>
      <c r="N86" s="24" t="str">
        <f aca="false">IF(M86&gt;=TotalStations,"Terminé",INDEX($A$10:$A$25,MATCH(SUMPRODUCT(($A$10:$A$25&lt;&gt;"")*($D$10:$D$25&lt;=M86))+1,$E$10:$E$25,0)))</f>
        <v>Single 2</v>
      </c>
      <c r="O86" s="24" t="n">
        <f aca="false">IF(M86&gt;=TotalStations,"",INDEX($C$10:$C$25,MATCH(SUMPRODUCT(($A$10:$A$25&lt;&gt;"")*($D$10:$D$25&lt;=M86))+1,$E$10:$E$25,0)))</f>
        <v>180</v>
      </c>
      <c r="P86" s="24" t="n">
        <f aca="false">IF(M86&gt;=TotalStations,0,MIN(FLOOR(420/O86,1),(TotalStations-M86)))</f>
        <v>2</v>
      </c>
      <c r="Q86" s="24" t="n">
        <f aca="false">M86+P86</f>
        <v>42</v>
      </c>
    </row>
    <row r="87" customFormat="false" ht="15" hidden="false" customHeight="true" outlineLevel="0" collapsed="false">
      <c r="A87" s="37" t="n">
        <f aca="false">WORKDAY(A86,1)</f>
        <v>46294</v>
      </c>
      <c r="B87" s="24" t="str">
        <f aca="false">IF(COUNTIF($B$5:$F$5,A87)&gt;0,"Dédié","Normal")</f>
        <v>Normal</v>
      </c>
      <c r="C87" s="24" t="n">
        <f aca="false">G86</f>
        <v>23</v>
      </c>
      <c r="D87" s="24" t="str">
        <f aca="false">IF(C87&gt;=TotalStations,"Terminé",INDEX($A$10:$A$25,MATCH(SUMPRODUCT(($A$10:$A$25&lt;&gt;"")*($D$10:$D$25&lt;=C87))+1,$E$10:$E$25,0)))</f>
        <v>Single 1</v>
      </c>
      <c r="E87" s="24" t="n">
        <f aca="false">IF(C87&gt;=TotalStations,"",INDEX($C$10:$C$25,MATCH(SUMPRODUCT(($A$10:$A$25&lt;&gt;"")*($D$10:$D$25&lt;=C87))+1,$E$10:$E$25,0)))</f>
        <v>180</v>
      </c>
      <c r="F87" s="24" t="n">
        <f aca="false">IF(C87&gt;=TotalStations,0,IF(B87="Dédié",MIN(FLOOR(420/E87,1),(TotalStations-C87)),MIN(1,(TotalStations-C87))))</f>
        <v>1</v>
      </c>
      <c r="G87" s="24" t="n">
        <f aca="false">C87+F87</f>
        <v>24</v>
      </c>
      <c r="H87" s="24" t="n">
        <f aca="false">L86</f>
        <v>42</v>
      </c>
      <c r="I87" s="24" t="str">
        <f aca="false">IF(H87&gt;=TotalStations,"Terminé",INDEX($A$10:$A$25,MATCH(SUMPRODUCT(($A$10:$A$25&lt;&gt;"")*($D$10:$D$25&lt;=H87))+1,$E$10:$E$25,0)))</f>
        <v>Single 2</v>
      </c>
      <c r="J87" s="24" t="n">
        <f aca="false">IF(H87&gt;=TotalStations,"",INDEX($C$10:$C$25,MATCH(SUMPRODUCT(($A$10:$A$25&lt;&gt;"")*($D$10:$D$25&lt;=H87))+1,$E$10:$E$25,0)))</f>
        <v>180</v>
      </c>
      <c r="K87" s="24" t="n">
        <f aca="false">IF(H87&gt;=TotalStations,0,IF(B87="Dédié",MIN(FLOOR(420/J87,1),(TotalStations-H87)),MIN(2,(TotalStations-H87))))</f>
        <v>2</v>
      </c>
      <c r="L87" s="24" t="n">
        <f aca="false">H87+K87</f>
        <v>44</v>
      </c>
      <c r="M87" s="24" t="n">
        <f aca="false">Q86</f>
        <v>42</v>
      </c>
      <c r="N87" s="24" t="str">
        <f aca="false">IF(M87&gt;=TotalStations,"Terminé",INDEX($A$10:$A$25,MATCH(SUMPRODUCT(($A$10:$A$25&lt;&gt;"")*($D$10:$D$25&lt;=M87))+1,$E$10:$E$25,0)))</f>
        <v>Single 2</v>
      </c>
      <c r="O87" s="24" t="n">
        <f aca="false">IF(M87&gt;=TotalStations,"",INDEX($C$10:$C$25,MATCH(SUMPRODUCT(($A$10:$A$25&lt;&gt;"")*($D$10:$D$25&lt;=M87))+1,$E$10:$E$25,0)))</f>
        <v>180</v>
      </c>
      <c r="P87" s="24" t="n">
        <f aca="false">IF(M87&gt;=TotalStations,0,MIN(FLOOR(420/O87,1),(TotalStations-M87)))</f>
        <v>2</v>
      </c>
      <c r="Q87" s="24" t="n">
        <f aca="false">M87+P87</f>
        <v>44</v>
      </c>
    </row>
    <row r="88" customFormat="false" ht="15" hidden="false" customHeight="true" outlineLevel="0" collapsed="false">
      <c r="A88" s="37" t="n">
        <f aca="false">WORKDAY(A87,1)</f>
        <v>46295</v>
      </c>
      <c r="B88" s="24" t="str">
        <f aca="false">IF(COUNTIF($B$5:$F$5,A88)&gt;0,"Dédié","Normal")</f>
        <v>Normal</v>
      </c>
      <c r="C88" s="24" t="n">
        <f aca="false">G87</f>
        <v>24</v>
      </c>
      <c r="D88" s="24" t="str">
        <f aca="false">IF(C88&gt;=TotalStations,"Terminé",INDEX($A$10:$A$25,MATCH(SUMPRODUCT(($A$10:$A$25&lt;&gt;"")*($D$10:$D$25&lt;=C88))+1,$E$10:$E$25,0)))</f>
        <v>Single 1</v>
      </c>
      <c r="E88" s="24" t="n">
        <f aca="false">IF(C88&gt;=TotalStations,"",INDEX($C$10:$C$25,MATCH(SUMPRODUCT(($A$10:$A$25&lt;&gt;"")*($D$10:$D$25&lt;=C88))+1,$E$10:$E$25,0)))</f>
        <v>180</v>
      </c>
      <c r="F88" s="24" t="n">
        <f aca="false">IF(C88&gt;=TotalStations,0,IF(B88="Dédié",MIN(FLOOR(420/E88,1),(TotalStations-C88)),MIN(1,(TotalStations-C88))))</f>
        <v>1</v>
      </c>
      <c r="G88" s="24" t="n">
        <f aca="false">C88+F88</f>
        <v>25</v>
      </c>
      <c r="H88" s="24" t="n">
        <f aca="false">L87</f>
        <v>44</v>
      </c>
      <c r="I88" s="24" t="str">
        <f aca="false">IF(H88&gt;=TotalStations,"Terminé",INDEX($A$10:$A$25,MATCH(SUMPRODUCT(($A$10:$A$25&lt;&gt;"")*($D$10:$D$25&lt;=H88))+1,$E$10:$E$25,0)))</f>
        <v>Single 2</v>
      </c>
      <c r="J88" s="24" t="n">
        <f aca="false">IF(H88&gt;=TotalStations,"",INDEX($C$10:$C$25,MATCH(SUMPRODUCT(($A$10:$A$25&lt;&gt;"")*($D$10:$D$25&lt;=H88))+1,$E$10:$E$25,0)))</f>
        <v>180</v>
      </c>
      <c r="K88" s="24" t="n">
        <f aca="false">IF(H88&gt;=TotalStations,0,IF(B88="Dédié",MIN(FLOOR(420/J88,1),(TotalStations-H88)),MIN(2,(TotalStations-H88))))</f>
        <v>2</v>
      </c>
      <c r="L88" s="24" t="n">
        <f aca="false">H88+K88</f>
        <v>46</v>
      </c>
      <c r="M88" s="24" t="n">
        <f aca="false">Q87</f>
        <v>44</v>
      </c>
      <c r="N88" s="24" t="str">
        <f aca="false">IF(M88&gt;=TotalStations,"Terminé",INDEX($A$10:$A$25,MATCH(SUMPRODUCT(($A$10:$A$25&lt;&gt;"")*($D$10:$D$25&lt;=M88))+1,$E$10:$E$25,0)))</f>
        <v>Single 2</v>
      </c>
      <c r="O88" s="24" t="n">
        <f aca="false">IF(M88&gt;=TotalStations,"",INDEX($C$10:$C$25,MATCH(SUMPRODUCT(($A$10:$A$25&lt;&gt;"")*($D$10:$D$25&lt;=M88))+1,$E$10:$E$25,0)))</f>
        <v>180</v>
      </c>
      <c r="P88" s="24" t="n">
        <f aca="false">IF(M88&gt;=TotalStations,0,MIN(FLOOR(420/O88,1),(TotalStations-M88)))</f>
        <v>2</v>
      </c>
      <c r="Q88" s="24" t="n">
        <f aca="false">M88+P88</f>
        <v>46</v>
      </c>
    </row>
    <row r="89" customFormat="false" ht="15" hidden="false" customHeight="true" outlineLevel="0" collapsed="false">
      <c r="A89" s="37" t="n">
        <f aca="false">WORKDAY(A88,1)</f>
        <v>46296</v>
      </c>
      <c r="B89" s="24" t="str">
        <f aca="false">IF(COUNTIF($B$5:$F$5,A89)&gt;0,"Dédié","Normal")</f>
        <v>Normal</v>
      </c>
      <c r="C89" s="24" t="n">
        <f aca="false">G88</f>
        <v>25</v>
      </c>
      <c r="D89" s="24" t="str">
        <f aca="false">IF(C89&gt;=TotalStations,"Terminé",INDEX($A$10:$A$25,MATCH(SUMPRODUCT(($A$10:$A$25&lt;&gt;"")*($D$10:$D$25&lt;=C89))+1,$E$10:$E$25,0)))</f>
        <v>Single 1</v>
      </c>
      <c r="E89" s="24" t="n">
        <f aca="false">IF(C89&gt;=TotalStations,"",INDEX($C$10:$C$25,MATCH(SUMPRODUCT(($A$10:$A$25&lt;&gt;"")*($D$10:$D$25&lt;=C89))+1,$E$10:$E$25,0)))</f>
        <v>180</v>
      </c>
      <c r="F89" s="24" t="n">
        <f aca="false">IF(C89&gt;=TotalStations,0,IF(B89="Dédié",MIN(FLOOR(420/E89,1),(TotalStations-C89)),MIN(1,(TotalStations-C89))))</f>
        <v>1</v>
      </c>
      <c r="G89" s="24" t="n">
        <f aca="false">C89+F89</f>
        <v>26</v>
      </c>
      <c r="H89" s="24" t="n">
        <f aca="false">L88</f>
        <v>46</v>
      </c>
      <c r="I89" s="24" t="str">
        <f aca="false">IF(H89&gt;=TotalStations,"Terminé",INDEX($A$10:$A$25,MATCH(SUMPRODUCT(($A$10:$A$25&lt;&gt;"")*($D$10:$D$25&lt;=H89))+1,$E$10:$E$25,0)))</f>
        <v>Single 2</v>
      </c>
      <c r="J89" s="24" t="n">
        <f aca="false">IF(H89&gt;=TotalStations,"",INDEX($C$10:$C$25,MATCH(SUMPRODUCT(($A$10:$A$25&lt;&gt;"")*($D$10:$D$25&lt;=H89))+1,$E$10:$E$25,0)))</f>
        <v>180</v>
      </c>
      <c r="K89" s="24" t="n">
        <f aca="false">IF(H89&gt;=TotalStations,0,IF(B89="Dédié",MIN(FLOOR(420/J89,1),(TotalStations-H89)),MIN(2,(TotalStations-H89))))</f>
        <v>2</v>
      </c>
      <c r="L89" s="24" t="n">
        <f aca="false">H89+K89</f>
        <v>48</v>
      </c>
      <c r="M89" s="24" t="n">
        <f aca="false">Q88</f>
        <v>46</v>
      </c>
      <c r="N89" s="24" t="str">
        <f aca="false">IF(M89&gt;=TotalStations,"Terminé",INDEX($A$10:$A$25,MATCH(SUMPRODUCT(($A$10:$A$25&lt;&gt;"")*($D$10:$D$25&lt;=M89))+1,$E$10:$E$25,0)))</f>
        <v>Single 2</v>
      </c>
      <c r="O89" s="24" t="n">
        <f aca="false">IF(M89&gt;=TotalStations,"",INDEX($C$10:$C$25,MATCH(SUMPRODUCT(($A$10:$A$25&lt;&gt;"")*($D$10:$D$25&lt;=M89))+1,$E$10:$E$25,0)))</f>
        <v>180</v>
      </c>
      <c r="P89" s="24" t="n">
        <f aca="false">IF(M89&gt;=TotalStations,0,MIN(FLOOR(420/O89,1),(TotalStations-M89)))</f>
        <v>2</v>
      </c>
      <c r="Q89" s="24" t="n">
        <f aca="false">M89+P89</f>
        <v>48</v>
      </c>
    </row>
    <row r="90" customFormat="false" ht="15" hidden="false" customHeight="true" outlineLevel="0" collapsed="false">
      <c r="A90" s="37" t="n">
        <f aca="false">WORKDAY(A89,1)</f>
        <v>46297</v>
      </c>
      <c r="B90" s="24" t="str">
        <f aca="false">IF(COUNTIF($B$5:$F$5,A90)&gt;0,"Dédié","Normal")</f>
        <v>Normal</v>
      </c>
      <c r="C90" s="24" t="n">
        <f aca="false">G89</f>
        <v>26</v>
      </c>
      <c r="D90" s="24" t="str">
        <f aca="false">IF(C90&gt;=TotalStations,"Terminé",INDEX($A$10:$A$25,MATCH(SUMPRODUCT(($A$10:$A$25&lt;&gt;"")*($D$10:$D$25&lt;=C90))+1,$E$10:$E$25,0)))</f>
        <v>Single 2</v>
      </c>
      <c r="E90" s="24" t="n">
        <f aca="false">IF(C90&gt;=TotalStations,"",INDEX($C$10:$C$25,MATCH(SUMPRODUCT(($A$10:$A$25&lt;&gt;"")*($D$10:$D$25&lt;=C90))+1,$E$10:$E$25,0)))</f>
        <v>180</v>
      </c>
      <c r="F90" s="24" t="n">
        <f aca="false">IF(C90&gt;=TotalStations,0,IF(B90="Dédié",MIN(FLOOR(420/E90,1),(TotalStations-C90)),MIN(1,(TotalStations-C90))))</f>
        <v>1</v>
      </c>
      <c r="G90" s="24" t="n">
        <f aca="false">C90+F90</f>
        <v>27</v>
      </c>
      <c r="H90" s="24" t="n">
        <f aca="false">L89</f>
        <v>48</v>
      </c>
      <c r="I90" s="24" t="str">
        <f aca="false">IF(H90&gt;=TotalStations,"Terminé",INDEX($A$10:$A$25,MATCH(SUMPRODUCT(($A$10:$A$25&lt;&gt;"")*($D$10:$D$25&lt;=H90))+1,$E$10:$E$25,0)))</f>
        <v>Single 2</v>
      </c>
      <c r="J90" s="24" t="n">
        <f aca="false">IF(H90&gt;=TotalStations,"",INDEX($C$10:$C$25,MATCH(SUMPRODUCT(($A$10:$A$25&lt;&gt;"")*($D$10:$D$25&lt;=H90))+1,$E$10:$E$25,0)))</f>
        <v>180</v>
      </c>
      <c r="K90" s="24" t="n">
        <f aca="false">IF(H90&gt;=TotalStations,0,IF(B90="Dédié",MIN(FLOOR(420/J90,1),(TotalStations-H90)),MIN(2,(TotalStations-H90))))</f>
        <v>2</v>
      </c>
      <c r="L90" s="24" t="n">
        <f aca="false">H90+K90</f>
        <v>50</v>
      </c>
      <c r="M90" s="24" t="n">
        <f aca="false">Q89</f>
        <v>48</v>
      </c>
      <c r="N90" s="24" t="str">
        <f aca="false">IF(M90&gt;=TotalStations,"Terminé",INDEX($A$10:$A$25,MATCH(SUMPRODUCT(($A$10:$A$25&lt;&gt;"")*($D$10:$D$25&lt;=M90))+1,$E$10:$E$25,0)))</f>
        <v>Single 2</v>
      </c>
      <c r="O90" s="24" t="n">
        <f aca="false">IF(M90&gt;=TotalStations,"",INDEX($C$10:$C$25,MATCH(SUMPRODUCT(($A$10:$A$25&lt;&gt;"")*($D$10:$D$25&lt;=M90))+1,$E$10:$E$25,0)))</f>
        <v>180</v>
      </c>
      <c r="P90" s="24" t="n">
        <f aca="false">IF(M90&gt;=TotalStations,0,MIN(FLOOR(420/O90,1),(TotalStations-M90)))</f>
        <v>2</v>
      </c>
      <c r="Q90" s="24" t="n">
        <f aca="false">M90+P90</f>
        <v>50</v>
      </c>
    </row>
    <row r="91" customFormat="false" ht="15" hidden="false" customHeight="true" outlineLevel="0" collapsed="false">
      <c r="A91" s="37" t="n">
        <f aca="false">WORKDAY(A90,1)</f>
        <v>46300</v>
      </c>
      <c r="B91" s="24" t="str">
        <f aca="false">IF(COUNTIF($B$5:$F$5,A91)&gt;0,"Dédié","Normal")</f>
        <v>Normal</v>
      </c>
      <c r="C91" s="24" t="n">
        <f aca="false">G90</f>
        <v>27</v>
      </c>
      <c r="D91" s="24" t="str">
        <f aca="false">IF(C91&gt;=TotalStations,"Terminé",INDEX($A$10:$A$25,MATCH(SUMPRODUCT(($A$10:$A$25&lt;&gt;"")*($D$10:$D$25&lt;=C91))+1,$E$10:$E$25,0)))</f>
        <v>Single 2</v>
      </c>
      <c r="E91" s="24" t="n">
        <f aca="false">IF(C91&gt;=TotalStations,"",INDEX($C$10:$C$25,MATCH(SUMPRODUCT(($A$10:$A$25&lt;&gt;"")*($D$10:$D$25&lt;=C91))+1,$E$10:$E$25,0)))</f>
        <v>180</v>
      </c>
      <c r="F91" s="24" t="n">
        <f aca="false">IF(C91&gt;=TotalStations,0,IF(B91="Dédié",MIN(FLOOR(420/E91,1),(TotalStations-C91)),MIN(1,(TotalStations-C91))))</f>
        <v>1</v>
      </c>
      <c r="G91" s="24" t="n">
        <f aca="false">C91+F91</f>
        <v>28</v>
      </c>
      <c r="H91" s="24" t="n">
        <f aca="false">L90</f>
        <v>50</v>
      </c>
      <c r="I91" s="24" t="str">
        <f aca="false">IF(H91&gt;=TotalStations,"Terminé",INDEX($A$10:$A$25,MATCH(SUMPRODUCT(($A$10:$A$25&lt;&gt;"")*($D$10:$D$25&lt;=H91))+1,$E$10:$E$25,0)))</f>
        <v>Single 2</v>
      </c>
      <c r="J91" s="24" t="n">
        <f aca="false">IF(H91&gt;=TotalStations,"",INDEX($C$10:$C$25,MATCH(SUMPRODUCT(($A$10:$A$25&lt;&gt;"")*($D$10:$D$25&lt;=H91))+1,$E$10:$E$25,0)))</f>
        <v>180</v>
      </c>
      <c r="K91" s="24" t="n">
        <f aca="false">IF(H91&gt;=TotalStations,0,IF(B91="Dédié",MIN(FLOOR(420/J91,1),(TotalStations-H91)),MIN(2,(TotalStations-H91))))</f>
        <v>2</v>
      </c>
      <c r="L91" s="24" t="n">
        <f aca="false">H91+K91</f>
        <v>52</v>
      </c>
      <c r="M91" s="24" t="n">
        <f aca="false">Q90</f>
        <v>50</v>
      </c>
      <c r="N91" s="24" t="str">
        <f aca="false">IF(M91&gt;=TotalStations,"Terminé",INDEX($A$10:$A$25,MATCH(SUMPRODUCT(($A$10:$A$25&lt;&gt;"")*($D$10:$D$25&lt;=M91))+1,$E$10:$E$25,0)))</f>
        <v>Single 2</v>
      </c>
      <c r="O91" s="24" t="n">
        <f aca="false">IF(M91&gt;=TotalStations,"",INDEX($C$10:$C$25,MATCH(SUMPRODUCT(($A$10:$A$25&lt;&gt;"")*($D$10:$D$25&lt;=M91))+1,$E$10:$E$25,0)))</f>
        <v>180</v>
      </c>
      <c r="P91" s="24" t="n">
        <f aca="false">IF(M91&gt;=TotalStations,0,MIN(FLOOR(420/O91,1),(TotalStations-M91)))</f>
        <v>2</v>
      </c>
      <c r="Q91" s="24" t="n">
        <f aca="false">M91+P91</f>
        <v>52</v>
      </c>
    </row>
    <row r="92" customFormat="false" ht="15" hidden="false" customHeight="true" outlineLevel="0" collapsed="false">
      <c r="A92" s="37" t="n">
        <f aca="false">WORKDAY(A91,1)</f>
        <v>46301</v>
      </c>
      <c r="B92" s="24" t="str">
        <f aca="false">IF(COUNTIF($B$5:$F$5,A92)&gt;0,"Dédié","Normal")</f>
        <v>Normal</v>
      </c>
      <c r="C92" s="24" t="n">
        <f aca="false">G91</f>
        <v>28</v>
      </c>
      <c r="D92" s="24" t="str">
        <f aca="false">IF(C92&gt;=TotalStations,"Terminé",INDEX($A$10:$A$25,MATCH(SUMPRODUCT(($A$10:$A$25&lt;&gt;"")*($D$10:$D$25&lt;=C92))+1,$E$10:$E$25,0)))</f>
        <v>Single 2</v>
      </c>
      <c r="E92" s="24" t="n">
        <f aca="false">IF(C92&gt;=TotalStations,"",INDEX($C$10:$C$25,MATCH(SUMPRODUCT(($A$10:$A$25&lt;&gt;"")*($D$10:$D$25&lt;=C92))+1,$E$10:$E$25,0)))</f>
        <v>180</v>
      </c>
      <c r="F92" s="24" t="n">
        <f aca="false">IF(C92&gt;=TotalStations,0,IF(B92="Dédié",MIN(FLOOR(420/E92,1),(TotalStations-C92)),MIN(1,(TotalStations-C92))))</f>
        <v>1</v>
      </c>
      <c r="G92" s="24" t="n">
        <f aca="false">C92+F92</f>
        <v>29</v>
      </c>
      <c r="H92" s="24" t="n">
        <f aca="false">L91</f>
        <v>52</v>
      </c>
      <c r="I92" s="24" t="str">
        <f aca="false">IF(H92&gt;=TotalStations,"Terminé",INDEX($A$10:$A$25,MATCH(SUMPRODUCT(($A$10:$A$25&lt;&gt;"")*($D$10:$D$25&lt;=H92))+1,$E$10:$E$25,0)))</f>
        <v>PCNS 1</v>
      </c>
      <c r="J92" s="24" t="n">
        <f aca="false">IF(H92&gt;=TotalStations,"",INDEX($C$10:$C$25,MATCH(SUMPRODUCT(($A$10:$A$25&lt;&gt;"")*($D$10:$D$25&lt;=H92))+1,$E$10:$E$25,0)))</f>
        <v>150</v>
      </c>
      <c r="K92" s="24" t="n">
        <f aca="false">IF(H92&gt;=TotalStations,0,IF(B92="Dédié",MIN(FLOOR(420/J92,1),(TotalStations-H92)),MIN(2,(TotalStations-H92))))</f>
        <v>2</v>
      </c>
      <c r="L92" s="24" t="n">
        <f aca="false">H92+K92</f>
        <v>54</v>
      </c>
      <c r="M92" s="24" t="n">
        <f aca="false">Q91</f>
        <v>52</v>
      </c>
      <c r="N92" s="24" t="str">
        <f aca="false">IF(M92&gt;=TotalStations,"Terminé",INDEX($A$10:$A$25,MATCH(SUMPRODUCT(($A$10:$A$25&lt;&gt;"")*($D$10:$D$25&lt;=M92))+1,$E$10:$E$25,0)))</f>
        <v>PCNS 1</v>
      </c>
      <c r="O92" s="24" t="n">
        <f aca="false">IF(M92&gt;=TotalStations,"",INDEX($C$10:$C$25,MATCH(SUMPRODUCT(($A$10:$A$25&lt;&gt;"")*($D$10:$D$25&lt;=M92))+1,$E$10:$E$25,0)))</f>
        <v>150</v>
      </c>
      <c r="P92" s="24" t="n">
        <f aca="false">IF(M92&gt;=TotalStations,0,MIN(FLOOR(420/O92,1),(TotalStations-M92)))</f>
        <v>2</v>
      </c>
      <c r="Q92" s="24" t="n">
        <f aca="false">M92+P92</f>
        <v>54</v>
      </c>
    </row>
    <row r="93" customFormat="false" ht="15" hidden="false" customHeight="true" outlineLevel="0" collapsed="false">
      <c r="A93" s="37" t="n">
        <f aca="false">WORKDAY(A92,1)</f>
        <v>46302</v>
      </c>
      <c r="B93" s="24" t="str">
        <f aca="false">IF(COUNTIF($B$5:$F$5,A93)&gt;0,"Dédié","Normal")</f>
        <v>Normal</v>
      </c>
      <c r="C93" s="24" t="n">
        <f aca="false">G92</f>
        <v>29</v>
      </c>
      <c r="D93" s="24" t="str">
        <f aca="false">IF(C93&gt;=TotalStations,"Terminé",INDEX($A$10:$A$25,MATCH(SUMPRODUCT(($A$10:$A$25&lt;&gt;"")*($D$10:$D$25&lt;=C93))+1,$E$10:$E$25,0)))</f>
        <v>Single 2</v>
      </c>
      <c r="E93" s="24" t="n">
        <f aca="false">IF(C93&gt;=TotalStations,"",INDEX($C$10:$C$25,MATCH(SUMPRODUCT(($A$10:$A$25&lt;&gt;"")*($D$10:$D$25&lt;=C93))+1,$E$10:$E$25,0)))</f>
        <v>180</v>
      </c>
      <c r="F93" s="24" t="n">
        <f aca="false">IF(C93&gt;=TotalStations,0,IF(B93="Dédié",MIN(FLOOR(420/E93,1),(TotalStations-C93)),MIN(1,(TotalStations-C93))))</f>
        <v>1</v>
      </c>
      <c r="G93" s="24" t="n">
        <f aca="false">C93+F93</f>
        <v>30</v>
      </c>
      <c r="H93" s="24" t="n">
        <f aca="false">L92</f>
        <v>54</v>
      </c>
      <c r="I93" s="24" t="str">
        <f aca="false">IF(H93&gt;=TotalStations,"Terminé",INDEX($A$10:$A$25,MATCH(SUMPRODUCT(($A$10:$A$25&lt;&gt;"")*($D$10:$D$25&lt;=H93))+1,$E$10:$E$25,0)))</f>
        <v>PCNS 1</v>
      </c>
      <c r="J93" s="24" t="n">
        <f aca="false">IF(H93&gt;=TotalStations,"",INDEX($C$10:$C$25,MATCH(SUMPRODUCT(($A$10:$A$25&lt;&gt;"")*($D$10:$D$25&lt;=H93))+1,$E$10:$E$25,0)))</f>
        <v>150</v>
      </c>
      <c r="K93" s="24" t="n">
        <f aca="false">IF(H93&gt;=TotalStations,0,IF(B93="Dédié",MIN(FLOOR(420/J93,1),(TotalStations-H93)),MIN(2,(TotalStations-H93))))</f>
        <v>2</v>
      </c>
      <c r="L93" s="24" t="n">
        <f aca="false">H93+K93</f>
        <v>56</v>
      </c>
      <c r="M93" s="24" t="n">
        <f aca="false">Q92</f>
        <v>54</v>
      </c>
      <c r="N93" s="24" t="str">
        <f aca="false">IF(M93&gt;=TotalStations,"Terminé",INDEX($A$10:$A$25,MATCH(SUMPRODUCT(($A$10:$A$25&lt;&gt;"")*($D$10:$D$25&lt;=M93))+1,$E$10:$E$25,0)))</f>
        <v>PCNS 1</v>
      </c>
      <c r="O93" s="24" t="n">
        <f aca="false">IF(M93&gt;=TotalStations,"",INDEX($C$10:$C$25,MATCH(SUMPRODUCT(($A$10:$A$25&lt;&gt;"")*($D$10:$D$25&lt;=M93))+1,$E$10:$E$25,0)))</f>
        <v>150</v>
      </c>
      <c r="P93" s="24" t="n">
        <f aca="false">IF(M93&gt;=TotalStations,0,MIN(FLOOR(420/O93,1),(TotalStations-M93)))</f>
        <v>2</v>
      </c>
      <c r="Q93" s="24" t="n">
        <f aca="false">M93+P93</f>
        <v>56</v>
      </c>
    </row>
    <row r="94" customFormat="false" ht="15" hidden="false" customHeight="true" outlineLevel="0" collapsed="false">
      <c r="A94" s="37" t="n">
        <f aca="false">WORKDAY(A93,1)</f>
        <v>46303</v>
      </c>
      <c r="B94" s="24" t="str">
        <f aca="false">IF(COUNTIF($B$5:$F$5,A94)&gt;0,"Dédié","Normal")</f>
        <v>Normal</v>
      </c>
      <c r="C94" s="24" t="n">
        <f aca="false">G93</f>
        <v>30</v>
      </c>
      <c r="D94" s="24" t="str">
        <f aca="false">IF(C94&gt;=TotalStations,"Terminé",INDEX($A$10:$A$25,MATCH(SUMPRODUCT(($A$10:$A$25&lt;&gt;"")*($D$10:$D$25&lt;=C94))+1,$E$10:$E$25,0)))</f>
        <v>Single 2</v>
      </c>
      <c r="E94" s="24" t="n">
        <f aca="false">IF(C94&gt;=TotalStations,"",INDEX($C$10:$C$25,MATCH(SUMPRODUCT(($A$10:$A$25&lt;&gt;"")*($D$10:$D$25&lt;=C94))+1,$E$10:$E$25,0)))</f>
        <v>180</v>
      </c>
      <c r="F94" s="24" t="n">
        <f aca="false">IF(C94&gt;=TotalStations,0,IF(B94="Dédié",MIN(FLOOR(420/E94,1),(TotalStations-C94)),MIN(1,(TotalStations-C94))))</f>
        <v>1</v>
      </c>
      <c r="G94" s="24" t="n">
        <f aca="false">C94+F94</f>
        <v>31</v>
      </c>
      <c r="H94" s="24" t="n">
        <f aca="false">L93</f>
        <v>56</v>
      </c>
      <c r="I94" s="24" t="str">
        <f aca="false">IF(H94&gt;=TotalStations,"Terminé",INDEX($A$10:$A$25,MATCH(SUMPRODUCT(($A$10:$A$25&lt;&gt;"")*($D$10:$D$25&lt;=H94))+1,$E$10:$E$25,0)))</f>
        <v>PCNS 1</v>
      </c>
      <c r="J94" s="24" t="n">
        <f aca="false">IF(H94&gt;=TotalStations,"",INDEX($C$10:$C$25,MATCH(SUMPRODUCT(($A$10:$A$25&lt;&gt;"")*($D$10:$D$25&lt;=H94))+1,$E$10:$E$25,0)))</f>
        <v>150</v>
      </c>
      <c r="K94" s="24" t="n">
        <f aca="false">IF(H94&gt;=TotalStations,0,IF(B94="Dédié",MIN(FLOOR(420/J94,1),(TotalStations-H94)),MIN(2,(TotalStations-H94))))</f>
        <v>2</v>
      </c>
      <c r="L94" s="24" t="n">
        <f aca="false">H94+K94</f>
        <v>58</v>
      </c>
      <c r="M94" s="24" t="n">
        <f aca="false">Q93</f>
        <v>56</v>
      </c>
      <c r="N94" s="24" t="str">
        <f aca="false">IF(M94&gt;=TotalStations,"Terminé",INDEX($A$10:$A$25,MATCH(SUMPRODUCT(($A$10:$A$25&lt;&gt;"")*($D$10:$D$25&lt;=M94))+1,$E$10:$E$25,0)))</f>
        <v>PCNS 1</v>
      </c>
      <c r="O94" s="24" t="n">
        <f aca="false">IF(M94&gt;=TotalStations,"",INDEX($C$10:$C$25,MATCH(SUMPRODUCT(($A$10:$A$25&lt;&gt;"")*($D$10:$D$25&lt;=M94))+1,$E$10:$E$25,0)))</f>
        <v>150</v>
      </c>
      <c r="P94" s="24" t="n">
        <f aca="false">IF(M94&gt;=TotalStations,0,MIN(FLOOR(420/O94,1),(TotalStations-M94)))</f>
        <v>2</v>
      </c>
      <c r="Q94" s="24" t="n">
        <f aca="false">M94+P94</f>
        <v>58</v>
      </c>
    </row>
    <row r="95" customFormat="false" ht="15" hidden="false" customHeight="true" outlineLevel="0" collapsed="false">
      <c r="A95" s="37" t="n">
        <f aca="false">WORKDAY(A94,1)</f>
        <v>46304</v>
      </c>
      <c r="B95" s="24" t="str">
        <f aca="false">IF(COUNTIF($B$5:$F$5,A95)&gt;0,"Dédié","Normal")</f>
        <v>Normal</v>
      </c>
      <c r="C95" s="24" t="n">
        <f aca="false">G94</f>
        <v>31</v>
      </c>
      <c r="D95" s="24" t="str">
        <f aca="false">IF(C95&gt;=TotalStations,"Terminé",INDEX($A$10:$A$25,MATCH(SUMPRODUCT(($A$10:$A$25&lt;&gt;"")*($D$10:$D$25&lt;=C95))+1,$E$10:$E$25,0)))</f>
        <v>Single 2</v>
      </c>
      <c r="E95" s="24" t="n">
        <f aca="false">IF(C95&gt;=TotalStations,"",INDEX($C$10:$C$25,MATCH(SUMPRODUCT(($A$10:$A$25&lt;&gt;"")*($D$10:$D$25&lt;=C95))+1,$E$10:$E$25,0)))</f>
        <v>180</v>
      </c>
      <c r="F95" s="24" t="n">
        <f aca="false">IF(C95&gt;=TotalStations,0,IF(B95="Dédié",MIN(FLOOR(420/E95,1),(TotalStations-C95)),MIN(1,(TotalStations-C95))))</f>
        <v>1</v>
      </c>
      <c r="G95" s="24" t="n">
        <f aca="false">C95+F95</f>
        <v>32</v>
      </c>
      <c r="H95" s="24" t="n">
        <f aca="false">L94</f>
        <v>58</v>
      </c>
      <c r="I95" s="24" t="str">
        <f aca="false">IF(H95&gt;=TotalStations,"Terminé",INDEX($A$10:$A$25,MATCH(SUMPRODUCT(($A$10:$A$25&lt;&gt;"")*($D$10:$D$25&lt;=H95))+1,$E$10:$E$25,0)))</f>
        <v>PCNS 1</v>
      </c>
      <c r="J95" s="24" t="n">
        <f aca="false">IF(H95&gt;=TotalStations,"",INDEX($C$10:$C$25,MATCH(SUMPRODUCT(($A$10:$A$25&lt;&gt;"")*($D$10:$D$25&lt;=H95))+1,$E$10:$E$25,0)))</f>
        <v>150</v>
      </c>
      <c r="K95" s="24" t="n">
        <f aca="false">IF(H95&gt;=TotalStations,0,IF(B95="Dédié",MIN(FLOOR(420/J95,1),(TotalStations-H95)),MIN(2,(TotalStations-H95))))</f>
        <v>2</v>
      </c>
      <c r="L95" s="24" t="n">
        <f aca="false">H95+K95</f>
        <v>60</v>
      </c>
      <c r="M95" s="24" t="n">
        <f aca="false">Q94</f>
        <v>58</v>
      </c>
      <c r="N95" s="24" t="str">
        <f aca="false">IF(M95&gt;=TotalStations,"Terminé",INDEX($A$10:$A$25,MATCH(SUMPRODUCT(($A$10:$A$25&lt;&gt;"")*($D$10:$D$25&lt;=M95))+1,$E$10:$E$25,0)))</f>
        <v>PCNS 1</v>
      </c>
      <c r="O95" s="24" t="n">
        <f aca="false">IF(M95&gt;=TotalStations,"",INDEX($C$10:$C$25,MATCH(SUMPRODUCT(($A$10:$A$25&lt;&gt;"")*($D$10:$D$25&lt;=M95))+1,$E$10:$E$25,0)))</f>
        <v>150</v>
      </c>
      <c r="P95" s="24" t="n">
        <f aca="false">IF(M95&gt;=TotalStations,0,MIN(FLOOR(420/O95,1),(TotalStations-M95)))</f>
        <v>2</v>
      </c>
      <c r="Q95" s="24" t="n">
        <f aca="false">M95+P95</f>
        <v>60</v>
      </c>
    </row>
    <row r="96" customFormat="false" ht="15" hidden="false" customHeight="true" outlineLevel="0" collapsed="false">
      <c r="A96" s="37" t="n">
        <f aca="false">WORKDAY(A95,1)</f>
        <v>46307</v>
      </c>
      <c r="B96" s="24" t="str">
        <f aca="false">IF(COUNTIF($B$5:$F$5,A96)&gt;0,"Dédié","Normal")</f>
        <v>Normal</v>
      </c>
      <c r="C96" s="24" t="n">
        <f aca="false">G95</f>
        <v>32</v>
      </c>
      <c r="D96" s="24" t="str">
        <f aca="false">IF(C96&gt;=TotalStations,"Terminé",INDEX($A$10:$A$25,MATCH(SUMPRODUCT(($A$10:$A$25&lt;&gt;"")*($D$10:$D$25&lt;=C96))+1,$E$10:$E$25,0)))</f>
        <v>Single 2</v>
      </c>
      <c r="E96" s="24" t="n">
        <f aca="false">IF(C96&gt;=TotalStations,"",INDEX($C$10:$C$25,MATCH(SUMPRODUCT(($A$10:$A$25&lt;&gt;"")*($D$10:$D$25&lt;=C96))+1,$E$10:$E$25,0)))</f>
        <v>180</v>
      </c>
      <c r="F96" s="24" t="n">
        <f aca="false">IF(C96&gt;=TotalStations,0,IF(B96="Dédié",MIN(FLOOR(420/E96,1),(TotalStations-C96)),MIN(1,(TotalStations-C96))))</f>
        <v>1</v>
      </c>
      <c r="G96" s="24" t="n">
        <f aca="false">C96+F96</f>
        <v>33</v>
      </c>
      <c r="H96" s="24" t="n">
        <f aca="false">L95</f>
        <v>60</v>
      </c>
      <c r="I96" s="24" t="str">
        <f aca="false">IF(H96&gt;=TotalStations,"Terminé",INDEX($A$10:$A$25,MATCH(SUMPRODUCT(($A$10:$A$25&lt;&gt;"")*($D$10:$D$25&lt;=H96))+1,$E$10:$E$25,0)))</f>
        <v>PCNS 1</v>
      </c>
      <c r="J96" s="24" t="n">
        <f aca="false">IF(H96&gt;=TotalStations,"",INDEX($C$10:$C$25,MATCH(SUMPRODUCT(($A$10:$A$25&lt;&gt;"")*($D$10:$D$25&lt;=H96))+1,$E$10:$E$25,0)))</f>
        <v>150</v>
      </c>
      <c r="K96" s="24" t="n">
        <f aca="false">IF(H96&gt;=TotalStations,0,IF(B96="Dédié",MIN(FLOOR(420/J96,1),(TotalStations-H96)),MIN(2,(TotalStations-H96))))</f>
        <v>2</v>
      </c>
      <c r="L96" s="24" t="n">
        <f aca="false">H96+K96</f>
        <v>62</v>
      </c>
      <c r="M96" s="24" t="n">
        <f aca="false">Q95</f>
        <v>60</v>
      </c>
      <c r="N96" s="24" t="str">
        <f aca="false">IF(M96&gt;=TotalStations,"Terminé",INDEX($A$10:$A$25,MATCH(SUMPRODUCT(($A$10:$A$25&lt;&gt;"")*($D$10:$D$25&lt;=M96))+1,$E$10:$E$25,0)))</f>
        <v>PCNS 1</v>
      </c>
      <c r="O96" s="24" t="n">
        <f aca="false">IF(M96&gt;=TotalStations,"",INDEX($C$10:$C$25,MATCH(SUMPRODUCT(($A$10:$A$25&lt;&gt;"")*($D$10:$D$25&lt;=M96))+1,$E$10:$E$25,0)))</f>
        <v>150</v>
      </c>
      <c r="P96" s="24" t="n">
        <f aca="false">IF(M96&gt;=TotalStations,0,MIN(FLOOR(420/O96,1),(TotalStations-M96)))</f>
        <v>2</v>
      </c>
      <c r="Q96" s="24" t="n">
        <f aca="false">M96+P96</f>
        <v>62</v>
      </c>
    </row>
    <row r="97" customFormat="false" ht="15" hidden="false" customHeight="true" outlineLevel="0" collapsed="false">
      <c r="A97" s="37" t="n">
        <f aca="false">WORKDAY(A96,1)</f>
        <v>46308</v>
      </c>
      <c r="B97" s="24" t="str">
        <f aca="false">IF(COUNTIF($B$5:$F$5,A97)&gt;0,"Dédié","Normal")</f>
        <v>Normal</v>
      </c>
      <c r="C97" s="24" t="n">
        <f aca="false">G96</f>
        <v>33</v>
      </c>
      <c r="D97" s="24" t="str">
        <f aca="false">IF(C97&gt;=TotalStations,"Terminé",INDEX($A$10:$A$25,MATCH(SUMPRODUCT(($A$10:$A$25&lt;&gt;"")*($D$10:$D$25&lt;=C97))+1,$E$10:$E$25,0)))</f>
        <v>Single 2</v>
      </c>
      <c r="E97" s="24" t="n">
        <f aca="false">IF(C97&gt;=TotalStations,"",INDEX($C$10:$C$25,MATCH(SUMPRODUCT(($A$10:$A$25&lt;&gt;"")*($D$10:$D$25&lt;=C97))+1,$E$10:$E$25,0)))</f>
        <v>180</v>
      </c>
      <c r="F97" s="24" t="n">
        <f aca="false">IF(C97&gt;=TotalStations,0,IF(B97="Dédié",MIN(FLOOR(420/E97,1),(TotalStations-C97)),MIN(1,(TotalStations-C97))))</f>
        <v>1</v>
      </c>
      <c r="G97" s="24" t="n">
        <f aca="false">C97+F97</f>
        <v>34</v>
      </c>
      <c r="H97" s="24" t="n">
        <f aca="false">L96</f>
        <v>62</v>
      </c>
      <c r="I97" s="24" t="str">
        <f aca="false">IF(H97&gt;=TotalStations,"Terminé",INDEX($A$10:$A$25,MATCH(SUMPRODUCT(($A$10:$A$25&lt;&gt;"")*($D$10:$D$25&lt;=H97))+1,$E$10:$E$25,0)))</f>
        <v>PCNS 2</v>
      </c>
      <c r="J97" s="24" t="n">
        <f aca="false">IF(H97&gt;=TotalStations,"",INDEX($C$10:$C$25,MATCH(SUMPRODUCT(($A$10:$A$25&lt;&gt;"")*($D$10:$D$25&lt;=H97))+1,$E$10:$E$25,0)))</f>
        <v>150</v>
      </c>
      <c r="K97" s="24" t="n">
        <f aca="false">IF(H97&gt;=TotalStations,0,IF(B97="Dédié",MIN(FLOOR(420/J97,1),(TotalStations-H97)),MIN(2,(TotalStations-H97))))</f>
        <v>2</v>
      </c>
      <c r="L97" s="24" t="n">
        <f aca="false">H97+K97</f>
        <v>64</v>
      </c>
      <c r="M97" s="24" t="n">
        <f aca="false">Q96</f>
        <v>62</v>
      </c>
      <c r="N97" s="24" t="str">
        <f aca="false">IF(M97&gt;=TotalStations,"Terminé",INDEX($A$10:$A$25,MATCH(SUMPRODUCT(($A$10:$A$25&lt;&gt;"")*($D$10:$D$25&lt;=M97))+1,$E$10:$E$25,0)))</f>
        <v>PCNS 2</v>
      </c>
      <c r="O97" s="24" t="n">
        <f aca="false">IF(M97&gt;=TotalStations,"",INDEX($C$10:$C$25,MATCH(SUMPRODUCT(($A$10:$A$25&lt;&gt;"")*($D$10:$D$25&lt;=M97))+1,$E$10:$E$25,0)))</f>
        <v>150</v>
      </c>
      <c r="P97" s="24" t="n">
        <f aca="false">IF(M97&gt;=TotalStations,0,MIN(FLOOR(420/O97,1),(TotalStations-M97)))</f>
        <v>2</v>
      </c>
      <c r="Q97" s="24" t="n">
        <f aca="false">M97+P97</f>
        <v>64</v>
      </c>
    </row>
    <row r="98" customFormat="false" ht="15" hidden="false" customHeight="true" outlineLevel="0" collapsed="false">
      <c r="A98" s="37" t="n">
        <f aca="false">WORKDAY(A97,1)</f>
        <v>46309</v>
      </c>
      <c r="B98" s="24" t="str">
        <f aca="false">IF(COUNTIF($B$5:$F$5,A98)&gt;0,"Dédié","Normal")</f>
        <v>Normal</v>
      </c>
      <c r="C98" s="24" t="n">
        <f aca="false">G97</f>
        <v>34</v>
      </c>
      <c r="D98" s="24" t="str">
        <f aca="false">IF(C98&gt;=TotalStations,"Terminé",INDEX($A$10:$A$25,MATCH(SUMPRODUCT(($A$10:$A$25&lt;&gt;"")*($D$10:$D$25&lt;=C98))+1,$E$10:$E$25,0)))</f>
        <v>Single 2</v>
      </c>
      <c r="E98" s="24" t="n">
        <f aca="false">IF(C98&gt;=TotalStations,"",INDEX($C$10:$C$25,MATCH(SUMPRODUCT(($A$10:$A$25&lt;&gt;"")*($D$10:$D$25&lt;=C98))+1,$E$10:$E$25,0)))</f>
        <v>180</v>
      </c>
      <c r="F98" s="24" t="n">
        <f aca="false">IF(C98&gt;=TotalStations,0,IF(B98="Dédié",MIN(FLOOR(420/E98,1),(TotalStations-C98)),MIN(1,(TotalStations-C98))))</f>
        <v>1</v>
      </c>
      <c r="G98" s="24" t="n">
        <f aca="false">C98+F98</f>
        <v>35</v>
      </c>
      <c r="H98" s="24" t="n">
        <f aca="false">L97</f>
        <v>64</v>
      </c>
      <c r="I98" s="24" t="str">
        <f aca="false">IF(H98&gt;=TotalStations,"Terminé",INDEX($A$10:$A$25,MATCH(SUMPRODUCT(($A$10:$A$25&lt;&gt;"")*($D$10:$D$25&lt;=H98))+1,$E$10:$E$25,0)))</f>
        <v>PCNS 2</v>
      </c>
      <c r="J98" s="24" t="n">
        <f aca="false">IF(H98&gt;=TotalStations,"",INDEX($C$10:$C$25,MATCH(SUMPRODUCT(($A$10:$A$25&lt;&gt;"")*($D$10:$D$25&lt;=H98))+1,$E$10:$E$25,0)))</f>
        <v>150</v>
      </c>
      <c r="K98" s="24" t="n">
        <f aca="false">IF(H98&gt;=TotalStations,0,IF(B98="Dédié",MIN(FLOOR(420/J98,1),(TotalStations-H98)),MIN(2,(TotalStations-H98))))</f>
        <v>2</v>
      </c>
      <c r="L98" s="24" t="n">
        <f aca="false">H98+K98</f>
        <v>66</v>
      </c>
      <c r="M98" s="24" t="n">
        <f aca="false">Q97</f>
        <v>64</v>
      </c>
      <c r="N98" s="24" t="str">
        <f aca="false">IF(M98&gt;=TotalStations,"Terminé",INDEX($A$10:$A$25,MATCH(SUMPRODUCT(($A$10:$A$25&lt;&gt;"")*($D$10:$D$25&lt;=M98))+1,$E$10:$E$25,0)))</f>
        <v>PCNS 2</v>
      </c>
      <c r="O98" s="24" t="n">
        <f aca="false">IF(M98&gt;=TotalStations,"",INDEX($C$10:$C$25,MATCH(SUMPRODUCT(($A$10:$A$25&lt;&gt;"")*($D$10:$D$25&lt;=M98))+1,$E$10:$E$25,0)))</f>
        <v>150</v>
      </c>
      <c r="P98" s="24" t="n">
        <f aca="false">IF(M98&gt;=TotalStations,0,MIN(FLOOR(420/O98,1),(TotalStations-M98)))</f>
        <v>2</v>
      </c>
      <c r="Q98" s="24" t="n">
        <f aca="false">M98+P98</f>
        <v>66</v>
      </c>
    </row>
    <row r="99" customFormat="false" ht="15" hidden="false" customHeight="true" outlineLevel="0" collapsed="false">
      <c r="A99" s="37" t="n">
        <f aca="false">WORKDAY(A98,1)</f>
        <v>46310</v>
      </c>
      <c r="B99" s="24" t="str">
        <f aca="false">IF(COUNTIF($B$5:$F$5,A99)&gt;0,"Dédié","Normal")</f>
        <v>Normal</v>
      </c>
      <c r="C99" s="24" t="n">
        <f aca="false">G98</f>
        <v>35</v>
      </c>
      <c r="D99" s="24" t="str">
        <f aca="false">IF(C99&gt;=TotalStations,"Terminé",INDEX($A$10:$A$25,MATCH(SUMPRODUCT(($A$10:$A$25&lt;&gt;"")*($D$10:$D$25&lt;=C99))+1,$E$10:$E$25,0)))</f>
        <v>Single 2</v>
      </c>
      <c r="E99" s="24" t="n">
        <f aca="false">IF(C99&gt;=TotalStations,"",INDEX($C$10:$C$25,MATCH(SUMPRODUCT(($A$10:$A$25&lt;&gt;"")*($D$10:$D$25&lt;=C99))+1,$E$10:$E$25,0)))</f>
        <v>180</v>
      </c>
      <c r="F99" s="24" t="n">
        <f aca="false">IF(C99&gt;=TotalStations,0,IF(B99="Dédié",MIN(FLOOR(420/E99,1),(TotalStations-C99)),MIN(1,(TotalStations-C99))))</f>
        <v>1</v>
      </c>
      <c r="G99" s="24" t="n">
        <f aca="false">C99+F99</f>
        <v>36</v>
      </c>
      <c r="H99" s="24" t="n">
        <f aca="false">L98</f>
        <v>66</v>
      </c>
      <c r="I99" s="24" t="str">
        <f aca="false">IF(H99&gt;=TotalStations,"Terminé",INDEX($A$10:$A$25,MATCH(SUMPRODUCT(($A$10:$A$25&lt;&gt;"")*($D$10:$D$25&lt;=H99))+1,$E$10:$E$25,0)))</f>
        <v>PCNS 2</v>
      </c>
      <c r="J99" s="24" t="n">
        <f aca="false">IF(H99&gt;=TotalStations,"",INDEX($C$10:$C$25,MATCH(SUMPRODUCT(($A$10:$A$25&lt;&gt;"")*($D$10:$D$25&lt;=H99))+1,$E$10:$E$25,0)))</f>
        <v>150</v>
      </c>
      <c r="K99" s="24" t="n">
        <f aca="false">IF(H99&gt;=TotalStations,0,IF(B99="Dédié",MIN(FLOOR(420/J99,1),(TotalStations-H99)),MIN(2,(TotalStations-H99))))</f>
        <v>2</v>
      </c>
      <c r="L99" s="24" t="n">
        <f aca="false">H99+K99</f>
        <v>68</v>
      </c>
      <c r="M99" s="24" t="n">
        <f aca="false">Q98</f>
        <v>66</v>
      </c>
      <c r="N99" s="24" t="str">
        <f aca="false">IF(M99&gt;=TotalStations,"Terminé",INDEX($A$10:$A$25,MATCH(SUMPRODUCT(($A$10:$A$25&lt;&gt;"")*($D$10:$D$25&lt;=M99))+1,$E$10:$E$25,0)))</f>
        <v>PCNS 2</v>
      </c>
      <c r="O99" s="24" t="n">
        <f aca="false">IF(M99&gt;=TotalStations,"",INDEX($C$10:$C$25,MATCH(SUMPRODUCT(($A$10:$A$25&lt;&gt;"")*($D$10:$D$25&lt;=M99))+1,$E$10:$E$25,0)))</f>
        <v>150</v>
      </c>
      <c r="P99" s="24" t="n">
        <f aca="false">IF(M99&gt;=TotalStations,0,MIN(FLOOR(420/O99,1),(TotalStations-M99)))</f>
        <v>2</v>
      </c>
      <c r="Q99" s="24" t="n">
        <f aca="false">M99+P99</f>
        <v>68</v>
      </c>
    </row>
    <row r="100" customFormat="false" ht="15" hidden="false" customHeight="true" outlineLevel="0" collapsed="false">
      <c r="A100" s="37" t="n">
        <f aca="false">WORKDAY(A99,1)</f>
        <v>46311</v>
      </c>
      <c r="B100" s="24" t="str">
        <f aca="false">IF(COUNTIF($B$5:$F$5,A100)&gt;0,"Dédié","Normal")</f>
        <v>Normal</v>
      </c>
      <c r="C100" s="24" t="n">
        <f aca="false">G99</f>
        <v>36</v>
      </c>
      <c r="D100" s="24" t="str">
        <f aca="false">IF(C100&gt;=TotalStations,"Terminé",INDEX($A$10:$A$25,MATCH(SUMPRODUCT(($A$10:$A$25&lt;&gt;"")*($D$10:$D$25&lt;=C100))+1,$E$10:$E$25,0)))</f>
        <v>Single 2</v>
      </c>
      <c r="E100" s="24" t="n">
        <f aca="false">IF(C100&gt;=TotalStations,"",INDEX($C$10:$C$25,MATCH(SUMPRODUCT(($A$10:$A$25&lt;&gt;"")*($D$10:$D$25&lt;=C100))+1,$E$10:$E$25,0)))</f>
        <v>180</v>
      </c>
      <c r="F100" s="24" t="n">
        <f aca="false">IF(C100&gt;=TotalStations,0,IF(B100="Dédié",MIN(FLOOR(420/E100,1),(TotalStations-C100)),MIN(1,(TotalStations-C100))))</f>
        <v>1</v>
      </c>
      <c r="G100" s="24" t="n">
        <f aca="false">C100+F100</f>
        <v>37</v>
      </c>
      <c r="H100" s="24" t="n">
        <f aca="false">L99</f>
        <v>68</v>
      </c>
      <c r="I100" s="24" t="str">
        <f aca="false">IF(H100&gt;=TotalStations,"Terminé",INDEX($A$10:$A$25,MATCH(SUMPRODUCT(($A$10:$A$25&lt;&gt;"")*($D$10:$D$25&lt;=H100))+1,$E$10:$E$25,0)))</f>
        <v>KO</v>
      </c>
      <c r="J100" s="24" t="n">
        <f aca="false">IF(H100&gt;=TotalStations,"",INDEX($C$10:$C$25,MATCH(SUMPRODUCT(($A$10:$A$25&lt;&gt;"")*($D$10:$D$25&lt;=H100))+1,$E$10:$E$25,0)))</f>
        <v>180</v>
      </c>
      <c r="K100" s="24" t="n">
        <f aca="false">IF(H100&gt;=TotalStations,0,IF(B100="Dédié",MIN(FLOOR(420/J100,1),(TotalStations-H100)),MIN(2,(TotalStations-H100))))</f>
        <v>2</v>
      </c>
      <c r="L100" s="24" t="n">
        <f aca="false">H100+K100</f>
        <v>70</v>
      </c>
      <c r="M100" s="24" t="n">
        <f aca="false">Q99</f>
        <v>68</v>
      </c>
      <c r="N100" s="24" t="str">
        <f aca="false">IF(M100&gt;=TotalStations,"Terminé",INDEX($A$10:$A$25,MATCH(SUMPRODUCT(($A$10:$A$25&lt;&gt;"")*($D$10:$D$25&lt;=M100))+1,$E$10:$E$25,0)))</f>
        <v>KO</v>
      </c>
      <c r="O100" s="24" t="n">
        <f aca="false">IF(M100&gt;=TotalStations,"",INDEX($C$10:$C$25,MATCH(SUMPRODUCT(($A$10:$A$25&lt;&gt;"")*($D$10:$D$25&lt;=M100))+1,$E$10:$E$25,0)))</f>
        <v>180</v>
      </c>
      <c r="P100" s="24" t="n">
        <f aca="false">IF(M100&gt;=TotalStations,0,MIN(FLOOR(420/O100,1),(TotalStations-M100)))</f>
        <v>2</v>
      </c>
      <c r="Q100" s="24" t="n">
        <f aca="false">M100+P100</f>
        <v>70</v>
      </c>
    </row>
    <row r="101" customFormat="false" ht="15" hidden="false" customHeight="true" outlineLevel="0" collapsed="false">
      <c r="A101" s="37" t="n">
        <f aca="false">WORKDAY(A100,1)</f>
        <v>46314</v>
      </c>
      <c r="B101" s="24" t="str">
        <f aca="false">IF(COUNTIF($B$5:$F$5,A101)&gt;0,"Dédié","Normal")</f>
        <v>Normal</v>
      </c>
      <c r="C101" s="24" t="n">
        <f aca="false">G100</f>
        <v>37</v>
      </c>
      <c r="D101" s="24" t="str">
        <f aca="false">IF(C101&gt;=TotalStations,"Terminé",INDEX($A$10:$A$25,MATCH(SUMPRODUCT(($A$10:$A$25&lt;&gt;"")*($D$10:$D$25&lt;=C101))+1,$E$10:$E$25,0)))</f>
        <v>Single 2</v>
      </c>
      <c r="E101" s="24" t="n">
        <f aca="false">IF(C101&gt;=TotalStations,"",INDEX($C$10:$C$25,MATCH(SUMPRODUCT(($A$10:$A$25&lt;&gt;"")*($D$10:$D$25&lt;=C101))+1,$E$10:$E$25,0)))</f>
        <v>180</v>
      </c>
      <c r="F101" s="24" t="n">
        <f aca="false">IF(C101&gt;=TotalStations,0,IF(B101="Dédié",MIN(FLOOR(420/E101,1),(TotalStations-C101)),MIN(1,(TotalStations-C101))))</f>
        <v>1</v>
      </c>
      <c r="G101" s="24" t="n">
        <f aca="false">C101+F101</f>
        <v>38</v>
      </c>
      <c r="H101" s="24" t="n">
        <f aca="false">L100</f>
        <v>70</v>
      </c>
      <c r="I101" s="24" t="str">
        <f aca="false">IF(H101&gt;=TotalStations,"Terminé",INDEX($A$10:$A$25,MATCH(SUMPRODUCT(($A$10:$A$25&lt;&gt;"")*($D$10:$D$25&lt;=H101))+1,$E$10:$E$25,0)))</f>
        <v>KO</v>
      </c>
      <c r="J101" s="24" t="n">
        <f aca="false">IF(H101&gt;=TotalStations,"",INDEX($C$10:$C$25,MATCH(SUMPRODUCT(($A$10:$A$25&lt;&gt;"")*($D$10:$D$25&lt;=H101))+1,$E$10:$E$25,0)))</f>
        <v>180</v>
      </c>
      <c r="K101" s="24" t="n">
        <f aca="false">IF(H101&gt;=TotalStations,0,IF(B101="Dédié",MIN(FLOOR(420/J101,1),(TotalStations-H101)),MIN(2,(TotalStations-H101))))</f>
        <v>2</v>
      </c>
      <c r="L101" s="24" t="n">
        <f aca="false">H101+K101</f>
        <v>72</v>
      </c>
      <c r="M101" s="24" t="n">
        <f aca="false">Q100</f>
        <v>70</v>
      </c>
      <c r="N101" s="24" t="str">
        <f aca="false">IF(M101&gt;=TotalStations,"Terminé",INDEX($A$10:$A$25,MATCH(SUMPRODUCT(($A$10:$A$25&lt;&gt;"")*($D$10:$D$25&lt;=M101))+1,$E$10:$E$25,0)))</f>
        <v>KO</v>
      </c>
      <c r="O101" s="24" t="n">
        <f aca="false">IF(M101&gt;=TotalStations,"",INDEX($C$10:$C$25,MATCH(SUMPRODUCT(($A$10:$A$25&lt;&gt;"")*($D$10:$D$25&lt;=M101))+1,$E$10:$E$25,0)))</f>
        <v>180</v>
      </c>
      <c r="P101" s="24" t="n">
        <f aca="false">IF(M101&gt;=TotalStations,0,MIN(FLOOR(420/O101,1),(TotalStations-M101)))</f>
        <v>2</v>
      </c>
      <c r="Q101" s="24" t="n">
        <f aca="false">M101+P101</f>
        <v>72</v>
      </c>
    </row>
    <row r="102" customFormat="false" ht="15" hidden="false" customHeight="true" outlineLevel="0" collapsed="false">
      <c r="A102" s="37" t="n">
        <f aca="false">WORKDAY(A101,1)</f>
        <v>46315</v>
      </c>
      <c r="B102" s="24" t="str">
        <f aca="false">IF(COUNTIF($B$5:$F$5,A102)&gt;0,"Dédié","Normal")</f>
        <v>Normal</v>
      </c>
      <c r="C102" s="24" t="n">
        <f aca="false">G101</f>
        <v>38</v>
      </c>
      <c r="D102" s="24" t="str">
        <f aca="false">IF(C102&gt;=TotalStations,"Terminé",INDEX($A$10:$A$25,MATCH(SUMPRODUCT(($A$10:$A$25&lt;&gt;"")*($D$10:$D$25&lt;=C102))+1,$E$10:$E$25,0)))</f>
        <v>Single 2</v>
      </c>
      <c r="E102" s="24" t="n">
        <f aca="false">IF(C102&gt;=TotalStations,"",INDEX($C$10:$C$25,MATCH(SUMPRODUCT(($A$10:$A$25&lt;&gt;"")*($D$10:$D$25&lt;=C102))+1,$E$10:$E$25,0)))</f>
        <v>180</v>
      </c>
      <c r="F102" s="24" t="n">
        <f aca="false">IF(C102&gt;=TotalStations,0,IF(B102="Dédié",MIN(FLOOR(420/E102,1),(TotalStations-C102)),MIN(1,(TotalStations-C102))))</f>
        <v>1</v>
      </c>
      <c r="G102" s="24" t="n">
        <f aca="false">C102+F102</f>
        <v>39</v>
      </c>
      <c r="H102" s="24" t="n">
        <f aca="false">L101</f>
        <v>72</v>
      </c>
      <c r="I102" s="24" t="str">
        <f aca="false">IF(H102&gt;=TotalStations,"Terminé",INDEX($A$10:$A$25,MATCH(SUMPRODUCT(($A$10:$A$25&lt;&gt;"")*($D$10:$D$25&lt;=H102))+1,$E$10:$E$25,0)))</f>
        <v>P2R</v>
      </c>
      <c r="J102" s="24" t="n">
        <f aca="false">IF(H102&gt;=TotalStations,"",INDEX($C$10:$C$25,MATCH(SUMPRODUCT(($A$10:$A$25&lt;&gt;"")*($D$10:$D$25&lt;=H102))+1,$E$10:$E$25,0)))</f>
        <v>90</v>
      </c>
      <c r="K102" s="24" t="n">
        <f aca="false">IF(H102&gt;=TotalStations,0,IF(B102="Dédié",MIN(FLOOR(420/J102,1),(TotalStations-H102)),MIN(2,(TotalStations-H102))))</f>
        <v>2</v>
      </c>
      <c r="L102" s="24" t="n">
        <f aca="false">H102+K102</f>
        <v>74</v>
      </c>
      <c r="M102" s="24" t="n">
        <f aca="false">Q101</f>
        <v>72</v>
      </c>
      <c r="N102" s="24" t="str">
        <f aca="false">IF(M102&gt;=TotalStations,"Terminé",INDEX($A$10:$A$25,MATCH(SUMPRODUCT(($A$10:$A$25&lt;&gt;"")*($D$10:$D$25&lt;=M102))+1,$E$10:$E$25,0)))</f>
        <v>P2R</v>
      </c>
      <c r="O102" s="24" t="n">
        <f aca="false">IF(M102&gt;=TotalStations,"",INDEX($C$10:$C$25,MATCH(SUMPRODUCT(($A$10:$A$25&lt;&gt;"")*($D$10:$D$25&lt;=M102))+1,$E$10:$E$25,0)))</f>
        <v>90</v>
      </c>
      <c r="P102" s="24" t="n">
        <f aca="false">IF(M102&gt;=TotalStations,0,MIN(FLOOR(420/O102,1),(TotalStations-M102)))</f>
        <v>4</v>
      </c>
      <c r="Q102" s="24" t="n">
        <f aca="false">M102+P102</f>
        <v>76</v>
      </c>
    </row>
    <row r="103" customFormat="false" ht="15" hidden="false" customHeight="true" outlineLevel="0" collapsed="false">
      <c r="A103" s="37" t="n">
        <f aca="false">WORKDAY(A102,1)</f>
        <v>46316</v>
      </c>
      <c r="B103" s="24" t="str">
        <f aca="false">IF(COUNTIF($B$5:$F$5,A103)&gt;0,"Dédié","Normal")</f>
        <v>Normal</v>
      </c>
      <c r="C103" s="24" t="n">
        <f aca="false">G102</f>
        <v>39</v>
      </c>
      <c r="D103" s="24" t="str">
        <f aca="false">IF(C103&gt;=TotalStations,"Terminé",INDEX($A$10:$A$25,MATCH(SUMPRODUCT(($A$10:$A$25&lt;&gt;"")*($D$10:$D$25&lt;=C103))+1,$E$10:$E$25,0)))</f>
        <v>Single 2</v>
      </c>
      <c r="E103" s="24" t="n">
        <f aca="false">IF(C103&gt;=TotalStations,"",INDEX($C$10:$C$25,MATCH(SUMPRODUCT(($A$10:$A$25&lt;&gt;"")*($D$10:$D$25&lt;=C103))+1,$E$10:$E$25,0)))</f>
        <v>180</v>
      </c>
      <c r="F103" s="24" t="n">
        <f aca="false">IF(C103&gt;=TotalStations,0,IF(B103="Dédié",MIN(FLOOR(420/E103,1),(TotalStations-C103)),MIN(1,(TotalStations-C103))))</f>
        <v>1</v>
      </c>
      <c r="G103" s="24" t="n">
        <f aca="false">C103+F103</f>
        <v>40</v>
      </c>
      <c r="H103" s="24" t="n">
        <f aca="false">L102</f>
        <v>74</v>
      </c>
      <c r="I103" s="24" t="str">
        <f aca="false">IF(H103&gt;=TotalStations,"Terminé",INDEX($A$10:$A$25,MATCH(SUMPRODUCT(($A$10:$A$25&lt;&gt;"")*($D$10:$D$25&lt;=H103))+1,$E$10:$E$25,0)))</f>
        <v>P2R</v>
      </c>
      <c r="J103" s="24" t="n">
        <f aca="false">IF(H103&gt;=TotalStations,"",INDEX($C$10:$C$25,MATCH(SUMPRODUCT(($A$10:$A$25&lt;&gt;"")*($D$10:$D$25&lt;=H103))+1,$E$10:$E$25,0)))</f>
        <v>90</v>
      </c>
      <c r="K103" s="24" t="n">
        <f aca="false">IF(H103&gt;=TotalStations,0,IF(B103="Dédié",MIN(FLOOR(420/J103,1),(TotalStations-H103)),MIN(2,(TotalStations-H103))))</f>
        <v>2</v>
      </c>
      <c r="L103" s="24" t="n">
        <f aca="false">H103+K103</f>
        <v>76</v>
      </c>
      <c r="M103" s="24" t="n">
        <f aca="false">Q102</f>
        <v>76</v>
      </c>
      <c r="N103" s="24" t="str">
        <f aca="false">IF(M103&gt;=TotalStations,"Terminé",INDEX($A$10:$A$25,MATCH(SUMPRODUCT(($A$10:$A$25&lt;&gt;"")*($D$10:$D$25&lt;=M103))+1,$E$10:$E$25,0)))</f>
        <v>P2R</v>
      </c>
      <c r="O103" s="24" t="n">
        <f aca="false">IF(M103&gt;=TotalStations,"",INDEX($C$10:$C$25,MATCH(SUMPRODUCT(($A$10:$A$25&lt;&gt;"")*($D$10:$D$25&lt;=M103))+1,$E$10:$E$25,0)))</f>
        <v>90</v>
      </c>
      <c r="P103" s="24" t="n">
        <f aca="false">IF(M103&gt;=TotalStations,0,MIN(FLOOR(420/O103,1),(TotalStations-M103)))</f>
        <v>4</v>
      </c>
      <c r="Q103" s="24" t="n">
        <f aca="false">M103+P103</f>
        <v>80</v>
      </c>
    </row>
    <row r="104" customFormat="false" ht="15" hidden="false" customHeight="true" outlineLevel="0" collapsed="false">
      <c r="A104" s="37" t="n">
        <f aca="false">WORKDAY(A103,1)</f>
        <v>46317</v>
      </c>
      <c r="B104" s="24" t="str">
        <f aca="false">IF(COUNTIF($B$5:$F$5,A104)&gt;0,"Dédié","Normal")</f>
        <v>Normal</v>
      </c>
      <c r="C104" s="24" t="n">
        <f aca="false">G103</f>
        <v>40</v>
      </c>
      <c r="D104" s="24" t="str">
        <f aca="false">IF(C104&gt;=TotalStations,"Terminé",INDEX($A$10:$A$25,MATCH(SUMPRODUCT(($A$10:$A$25&lt;&gt;"")*($D$10:$D$25&lt;=C104))+1,$E$10:$E$25,0)))</f>
        <v>Single 2</v>
      </c>
      <c r="E104" s="24" t="n">
        <f aca="false">IF(C104&gt;=TotalStations,"",INDEX($C$10:$C$25,MATCH(SUMPRODUCT(($A$10:$A$25&lt;&gt;"")*($D$10:$D$25&lt;=C104))+1,$E$10:$E$25,0)))</f>
        <v>180</v>
      </c>
      <c r="F104" s="24" t="n">
        <f aca="false">IF(C104&gt;=TotalStations,0,IF(B104="Dédié",MIN(FLOOR(420/E104,1),(TotalStations-C104)),MIN(1,(TotalStations-C104))))</f>
        <v>1</v>
      </c>
      <c r="G104" s="24" t="n">
        <f aca="false">C104+F104</f>
        <v>41</v>
      </c>
      <c r="H104" s="24" t="n">
        <f aca="false">L103</f>
        <v>76</v>
      </c>
      <c r="I104" s="24" t="str">
        <f aca="false">IF(H104&gt;=TotalStations,"Terminé",INDEX($A$10:$A$25,MATCH(SUMPRODUCT(($A$10:$A$25&lt;&gt;"")*($D$10:$D$25&lt;=H104))+1,$E$10:$E$25,0)))</f>
        <v>P2R</v>
      </c>
      <c r="J104" s="24" t="n">
        <f aca="false">IF(H104&gt;=TotalStations,"",INDEX($C$10:$C$25,MATCH(SUMPRODUCT(($A$10:$A$25&lt;&gt;"")*($D$10:$D$25&lt;=H104))+1,$E$10:$E$25,0)))</f>
        <v>90</v>
      </c>
      <c r="K104" s="24" t="n">
        <f aca="false">IF(H104&gt;=TotalStations,0,IF(B104="Dédié",MIN(FLOOR(420/J104,1),(TotalStations-H104)),MIN(2,(TotalStations-H104))))</f>
        <v>2</v>
      </c>
      <c r="L104" s="24" t="n">
        <f aca="false">H104+K104</f>
        <v>78</v>
      </c>
      <c r="M104" s="24" t="n">
        <f aca="false">Q103</f>
        <v>80</v>
      </c>
      <c r="N104" s="24" t="str">
        <f aca="false">IF(M104&gt;=TotalStations,"Terminé",INDEX($A$10:$A$25,MATCH(SUMPRODUCT(($A$10:$A$25&lt;&gt;"")*($D$10:$D$25&lt;=M104))+1,$E$10:$E$25,0)))</f>
        <v>P2R</v>
      </c>
      <c r="O104" s="24" t="n">
        <f aca="false">IF(M104&gt;=TotalStations,"",INDEX($C$10:$C$25,MATCH(SUMPRODUCT(($A$10:$A$25&lt;&gt;"")*($D$10:$D$25&lt;=M104))+1,$E$10:$E$25,0)))</f>
        <v>90</v>
      </c>
      <c r="P104" s="24" t="n">
        <f aca="false">IF(M104&gt;=TotalStations,0,MIN(FLOOR(420/O104,1),(TotalStations-M104)))</f>
        <v>4</v>
      </c>
      <c r="Q104" s="24" t="n">
        <f aca="false">M104+P104</f>
        <v>84</v>
      </c>
    </row>
    <row r="105" customFormat="false" ht="15" hidden="false" customHeight="true" outlineLevel="0" collapsed="false">
      <c r="A105" s="37" t="n">
        <f aca="false">WORKDAY(A104,1)</f>
        <v>46318</v>
      </c>
      <c r="B105" s="24" t="str">
        <f aca="false">IF(COUNTIF($B$5:$F$5,A105)&gt;0,"Dédié","Normal")</f>
        <v>Normal</v>
      </c>
      <c r="C105" s="24" t="n">
        <f aca="false">G104</f>
        <v>41</v>
      </c>
      <c r="D105" s="24" t="str">
        <f aca="false">IF(C105&gt;=TotalStations,"Terminé",INDEX($A$10:$A$25,MATCH(SUMPRODUCT(($A$10:$A$25&lt;&gt;"")*($D$10:$D$25&lt;=C105))+1,$E$10:$E$25,0)))</f>
        <v>Single 2</v>
      </c>
      <c r="E105" s="24" t="n">
        <f aca="false">IF(C105&gt;=TotalStations,"",INDEX($C$10:$C$25,MATCH(SUMPRODUCT(($A$10:$A$25&lt;&gt;"")*($D$10:$D$25&lt;=C105))+1,$E$10:$E$25,0)))</f>
        <v>180</v>
      </c>
      <c r="F105" s="24" t="n">
        <f aca="false">IF(C105&gt;=TotalStations,0,IF(B105="Dédié",MIN(FLOOR(420/E105,1),(TotalStations-C105)),MIN(1,(TotalStations-C105))))</f>
        <v>1</v>
      </c>
      <c r="G105" s="24" t="n">
        <f aca="false">C105+F105</f>
        <v>42</v>
      </c>
      <c r="H105" s="24" t="n">
        <f aca="false">L104</f>
        <v>78</v>
      </c>
      <c r="I105" s="24" t="str">
        <f aca="false">IF(H105&gt;=TotalStations,"Terminé",INDEX($A$10:$A$25,MATCH(SUMPRODUCT(($A$10:$A$25&lt;&gt;"")*($D$10:$D$25&lt;=H105))+1,$E$10:$E$25,0)))</f>
        <v>P2R</v>
      </c>
      <c r="J105" s="24" t="n">
        <f aca="false">IF(H105&gt;=TotalStations,"",INDEX($C$10:$C$25,MATCH(SUMPRODUCT(($A$10:$A$25&lt;&gt;"")*($D$10:$D$25&lt;=H105))+1,$E$10:$E$25,0)))</f>
        <v>90</v>
      </c>
      <c r="K105" s="24" t="n">
        <f aca="false">IF(H105&gt;=TotalStations,0,IF(B105="Dédié",MIN(FLOOR(420/J105,1),(TotalStations-H105)),MIN(2,(TotalStations-H105))))</f>
        <v>2</v>
      </c>
      <c r="L105" s="24" t="n">
        <f aca="false">H105+K105</f>
        <v>80</v>
      </c>
      <c r="M105" s="24" t="n">
        <f aca="false">Q104</f>
        <v>84</v>
      </c>
      <c r="N105" s="24" t="str">
        <f aca="false">IF(M105&gt;=TotalStations,"Terminé",INDEX($A$10:$A$25,MATCH(SUMPRODUCT(($A$10:$A$25&lt;&gt;"")*($D$10:$D$25&lt;=M105))+1,$E$10:$E$25,0)))</f>
        <v>P2R</v>
      </c>
      <c r="O105" s="24" t="n">
        <f aca="false">IF(M105&gt;=TotalStations,"",INDEX($C$10:$C$25,MATCH(SUMPRODUCT(($A$10:$A$25&lt;&gt;"")*($D$10:$D$25&lt;=M105))+1,$E$10:$E$25,0)))</f>
        <v>90</v>
      </c>
      <c r="P105" s="24" t="n">
        <f aca="false">IF(M105&gt;=TotalStations,0,MIN(FLOOR(420/O105,1),(TotalStations-M105)))</f>
        <v>4</v>
      </c>
      <c r="Q105" s="24" t="n">
        <f aca="false">M105+P105</f>
        <v>88</v>
      </c>
    </row>
    <row r="106" customFormat="false" ht="15" hidden="false" customHeight="true" outlineLevel="0" collapsed="false">
      <c r="A106" s="37" t="n">
        <f aca="false">WORKDAY(A105,1)</f>
        <v>46321</v>
      </c>
      <c r="B106" s="24" t="str">
        <f aca="false">IF(COUNTIF($B$5:$F$5,A106)&gt;0,"Dédié","Normal")</f>
        <v>Normal</v>
      </c>
      <c r="C106" s="24" t="n">
        <f aca="false">G105</f>
        <v>42</v>
      </c>
      <c r="D106" s="24" t="str">
        <f aca="false">IF(C106&gt;=TotalStations,"Terminé",INDEX($A$10:$A$25,MATCH(SUMPRODUCT(($A$10:$A$25&lt;&gt;"")*($D$10:$D$25&lt;=C106))+1,$E$10:$E$25,0)))</f>
        <v>Single 2</v>
      </c>
      <c r="E106" s="24" t="n">
        <f aca="false">IF(C106&gt;=TotalStations,"",INDEX($C$10:$C$25,MATCH(SUMPRODUCT(($A$10:$A$25&lt;&gt;"")*($D$10:$D$25&lt;=C106))+1,$E$10:$E$25,0)))</f>
        <v>180</v>
      </c>
      <c r="F106" s="24" t="n">
        <f aca="false">IF(C106&gt;=TotalStations,0,IF(B106="Dédié",MIN(FLOOR(420/E106,1),(TotalStations-C106)),MIN(1,(TotalStations-C106))))</f>
        <v>1</v>
      </c>
      <c r="G106" s="24" t="n">
        <f aca="false">C106+F106</f>
        <v>43</v>
      </c>
      <c r="H106" s="24" t="n">
        <f aca="false">L105</f>
        <v>80</v>
      </c>
      <c r="I106" s="24" t="str">
        <f aca="false">IF(H106&gt;=TotalStations,"Terminé",INDEX($A$10:$A$25,MATCH(SUMPRODUCT(($A$10:$A$25&lt;&gt;"")*($D$10:$D$25&lt;=H106))+1,$E$10:$E$25,0)))</f>
        <v>P2R</v>
      </c>
      <c r="J106" s="24" t="n">
        <f aca="false">IF(H106&gt;=TotalStations,"",INDEX($C$10:$C$25,MATCH(SUMPRODUCT(($A$10:$A$25&lt;&gt;"")*($D$10:$D$25&lt;=H106))+1,$E$10:$E$25,0)))</f>
        <v>90</v>
      </c>
      <c r="K106" s="24" t="n">
        <f aca="false">IF(H106&gt;=TotalStations,0,IF(B106="Dédié",MIN(FLOOR(420/J106,1),(TotalStations-H106)),MIN(2,(TotalStations-H106))))</f>
        <v>2</v>
      </c>
      <c r="L106" s="24" t="n">
        <f aca="false">H106+K106</f>
        <v>82</v>
      </c>
      <c r="M106" s="24" t="n">
        <f aca="false">Q105</f>
        <v>88</v>
      </c>
      <c r="N106" s="24" t="str">
        <f aca="false">IF(M106&gt;=TotalStations,"Terminé",INDEX($A$10:$A$25,MATCH(SUMPRODUCT(($A$10:$A$25&lt;&gt;"")*($D$10:$D$25&lt;=M106))+1,$E$10:$E$25,0)))</f>
        <v>P2R</v>
      </c>
      <c r="O106" s="24" t="n">
        <f aca="false">IF(M106&gt;=TotalStations,"",INDEX($C$10:$C$25,MATCH(SUMPRODUCT(($A$10:$A$25&lt;&gt;"")*($D$10:$D$25&lt;=M106))+1,$E$10:$E$25,0)))</f>
        <v>90</v>
      </c>
      <c r="P106" s="24" t="n">
        <f aca="false">IF(M106&gt;=TotalStations,0,MIN(FLOOR(420/O106,1),(TotalStations-M106)))</f>
        <v>4</v>
      </c>
      <c r="Q106" s="24" t="n">
        <f aca="false">M106+P106</f>
        <v>92</v>
      </c>
    </row>
    <row r="107" customFormat="false" ht="15" hidden="false" customHeight="true" outlineLevel="0" collapsed="false">
      <c r="A107" s="37" t="n">
        <f aca="false">WORKDAY(A106,1)</f>
        <v>46322</v>
      </c>
      <c r="B107" s="24" t="str">
        <f aca="false">IF(COUNTIF($B$5:$F$5,A107)&gt;0,"Dédié","Normal")</f>
        <v>Normal</v>
      </c>
      <c r="C107" s="24" t="n">
        <f aca="false">G106</f>
        <v>43</v>
      </c>
      <c r="D107" s="24" t="str">
        <f aca="false">IF(C107&gt;=TotalStations,"Terminé",INDEX($A$10:$A$25,MATCH(SUMPRODUCT(($A$10:$A$25&lt;&gt;"")*($D$10:$D$25&lt;=C107))+1,$E$10:$E$25,0)))</f>
        <v>Single 2</v>
      </c>
      <c r="E107" s="24" t="n">
        <f aca="false">IF(C107&gt;=TotalStations,"",INDEX($C$10:$C$25,MATCH(SUMPRODUCT(($A$10:$A$25&lt;&gt;"")*($D$10:$D$25&lt;=C107))+1,$E$10:$E$25,0)))</f>
        <v>180</v>
      </c>
      <c r="F107" s="24" t="n">
        <f aca="false">IF(C107&gt;=TotalStations,0,IF(B107="Dédié",MIN(FLOOR(420/E107,1),(TotalStations-C107)),MIN(1,(TotalStations-C107))))</f>
        <v>1</v>
      </c>
      <c r="G107" s="24" t="n">
        <f aca="false">C107+F107</f>
        <v>44</v>
      </c>
      <c r="H107" s="24" t="n">
        <f aca="false">L106</f>
        <v>82</v>
      </c>
      <c r="I107" s="24" t="str">
        <f aca="false">IF(H107&gt;=TotalStations,"Terminé",INDEX($A$10:$A$25,MATCH(SUMPRODUCT(($A$10:$A$25&lt;&gt;"")*($D$10:$D$25&lt;=H107))+1,$E$10:$E$25,0)))</f>
        <v>P2R</v>
      </c>
      <c r="J107" s="24" t="n">
        <f aca="false">IF(H107&gt;=TotalStations,"",INDEX($C$10:$C$25,MATCH(SUMPRODUCT(($A$10:$A$25&lt;&gt;"")*($D$10:$D$25&lt;=H107))+1,$E$10:$E$25,0)))</f>
        <v>90</v>
      </c>
      <c r="K107" s="24" t="n">
        <f aca="false">IF(H107&gt;=TotalStations,0,IF(B107="Dédié",MIN(FLOOR(420/J107,1),(TotalStations-H107)),MIN(2,(TotalStations-H107))))</f>
        <v>2</v>
      </c>
      <c r="L107" s="24" t="n">
        <f aca="false">H107+K107</f>
        <v>84</v>
      </c>
      <c r="M107" s="24" t="n">
        <f aca="false">Q106</f>
        <v>92</v>
      </c>
      <c r="N107" s="24" t="str">
        <f aca="false">IF(M107&gt;=TotalStations,"Terminé",INDEX($A$10:$A$25,MATCH(SUMPRODUCT(($A$10:$A$25&lt;&gt;"")*($D$10:$D$25&lt;=M107))+1,$E$10:$E$25,0)))</f>
        <v>P2R</v>
      </c>
      <c r="O107" s="24" t="n">
        <f aca="false">IF(M107&gt;=TotalStations,"",INDEX($C$10:$C$25,MATCH(SUMPRODUCT(($A$10:$A$25&lt;&gt;"")*($D$10:$D$25&lt;=M107))+1,$E$10:$E$25,0)))</f>
        <v>90</v>
      </c>
      <c r="P107" s="24" t="n">
        <f aca="false">IF(M107&gt;=TotalStations,0,MIN(FLOOR(420/O107,1),(TotalStations-M107)))</f>
        <v>4</v>
      </c>
      <c r="Q107" s="24" t="n">
        <f aca="false">M107+P107</f>
        <v>96</v>
      </c>
    </row>
    <row r="108" customFormat="false" ht="15" hidden="false" customHeight="true" outlineLevel="0" collapsed="false">
      <c r="A108" s="37" t="n">
        <f aca="false">WORKDAY(A107,1)</f>
        <v>46323</v>
      </c>
      <c r="B108" s="24" t="str">
        <f aca="false">IF(COUNTIF($B$5:$F$5,A108)&gt;0,"Dédié","Normal")</f>
        <v>Normal</v>
      </c>
      <c r="C108" s="24" t="n">
        <f aca="false">G107</f>
        <v>44</v>
      </c>
      <c r="D108" s="24" t="str">
        <f aca="false">IF(C108&gt;=TotalStations,"Terminé",INDEX($A$10:$A$25,MATCH(SUMPRODUCT(($A$10:$A$25&lt;&gt;"")*($D$10:$D$25&lt;=C108))+1,$E$10:$E$25,0)))</f>
        <v>Single 2</v>
      </c>
      <c r="E108" s="24" t="n">
        <f aca="false">IF(C108&gt;=TotalStations,"",INDEX($C$10:$C$25,MATCH(SUMPRODUCT(($A$10:$A$25&lt;&gt;"")*($D$10:$D$25&lt;=C108))+1,$E$10:$E$25,0)))</f>
        <v>180</v>
      </c>
      <c r="F108" s="24" t="n">
        <f aca="false">IF(C108&gt;=TotalStations,0,IF(B108="Dédié",MIN(FLOOR(420/E108,1),(TotalStations-C108)),MIN(1,(TotalStations-C108))))</f>
        <v>1</v>
      </c>
      <c r="G108" s="24" t="n">
        <f aca="false">C108+F108</f>
        <v>45</v>
      </c>
      <c r="H108" s="24" t="n">
        <f aca="false">L107</f>
        <v>84</v>
      </c>
      <c r="I108" s="24" t="str">
        <f aca="false">IF(H108&gt;=TotalStations,"Terminé",INDEX($A$10:$A$25,MATCH(SUMPRODUCT(($A$10:$A$25&lt;&gt;"")*($D$10:$D$25&lt;=H108))+1,$E$10:$E$25,0)))</f>
        <v>P2R</v>
      </c>
      <c r="J108" s="24" t="n">
        <f aca="false">IF(H108&gt;=TotalStations,"",INDEX($C$10:$C$25,MATCH(SUMPRODUCT(($A$10:$A$25&lt;&gt;"")*($D$10:$D$25&lt;=H108))+1,$E$10:$E$25,0)))</f>
        <v>90</v>
      </c>
      <c r="K108" s="24" t="n">
        <f aca="false">IF(H108&gt;=TotalStations,0,IF(B108="Dédié",MIN(FLOOR(420/J108,1),(TotalStations-H108)),MIN(2,(TotalStations-H108))))</f>
        <v>2</v>
      </c>
      <c r="L108" s="24" t="n">
        <f aca="false">H108+K108</f>
        <v>86</v>
      </c>
      <c r="M108" s="24" t="n">
        <f aca="false">Q107</f>
        <v>96</v>
      </c>
      <c r="N108" s="24" t="str">
        <f aca="false">IF(M108&gt;=TotalStations,"Terminé",INDEX($A$10:$A$25,MATCH(SUMPRODUCT(($A$10:$A$25&lt;&gt;"")*($D$10:$D$25&lt;=M108))+1,$E$10:$E$25,0)))</f>
        <v>P2R</v>
      </c>
      <c r="O108" s="24" t="n">
        <f aca="false">IF(M108&gt;=TotalStations,"",INDEX($C$10:$C$25,MATCH(SUMPRODUCT(($A$10:$A$25&lt;&gt;"")*($D$10:$D$25&lt;=M108))+1,$E$10:$E$25,0)))</f>
        <v>90</v>
      </c>
      <c r="P108" s="24" t="n">
        <f aca="false">IF(M108&gt;=TotalStations,0,MIN(FLOOR(420/O108,1),(TotalStations-M108)))</f>
        <v>4</v>
      </c>
      <c r="Q108" s="24" t="n">
        <f aca="false">M108+P108</f>
        <v>100</v>
      </c>
    </row>
    <row r="109" customFormat="false" ht="15" hidden="false" customHeight="true" outlineLevel="0" collapsed="false">
      <c r="A109" s="37" t="n">
        <f aca="false">WORKDAY(A108,1)</f>
        <v>46324</v>
      </c>
      <c r="B109" s="24" t="str">
        <f aca="false">IF(COUNTIF($B$5:$F$5,A109)&gt;0,"Dédié","Normal")</f>
        <v>Normal</v>
      </c>
      <c r="C109" s="24" t="n">
        <f aca="false">G108</f>
        <v>45</v>
      </c>
      <c r="D109" s="24" t="str">
        <f aca="false">IF(C109&gt;=TotalStations,"Terminé",INDEX($A$10:$A$25,MATCH(SUMPRODUCT(($A$10:$A$25&lt;&gt;"")*($D$10:$D$25&lt;=C109))+1,$E$10:$E$25,0)))</f>
        <v>Single 2</v>
      </c>
      <c r="E109" s="24" t="n">
        <f aca="false">IF(C109&gt;=TotalStations,"",INDEX($C$10:$C$25,MATCH(SUMPRODUCT(($A$10:$A$25&lt;&gt;"")*($D$10:$D$25&lt;=C109))+1,$E$10:$E$25,0)))</f>
        <v>180</v>
      </c>
      <c r="F109" s="24" t="n">
        <f aca="false">IF(C109&gt;=TotalStations,0,IF(B109="Dédié",MIN(FLOOR(420/E109,1),(TotalStations-C109)),MIN(1,(TotalStations-C109))))</f>
        <v>1</v>
      </c>
      <c r="G109" s="24" t="n">
        <f aca="false">C109+F109</f>
        <v>46</v>
      </c>
      <c r="H109" s="24" t="n">
        <f aca="false">L108</f>
        <v>86</v>
      </c>
      <c r="I109" s="24" t="str">
        <f aca="false">IF(H109&gt;=TotalStations,"Terminé",INDEX($A$10:$A$25,MATCH(SUMPRODUCT(($A$10:$A$25&lt;&gt;"")*($D$10:$D$25&lt;=H109))+1,$E$10:$E$25,0)))</f>
        <v>P2R</v>
      </c>
      <c r="J109" s="24" t="n">
        <f aca="false">IF(H109&gt;=TotalStations,"",INDEX($C$10:$C$25,MATCH(SUMPRODUCT(($A$10:$A$25&lt;&gt;"")*($D$10:$D$25&lt;=H109))+1,$E$10:$E$25,0)))</f>
        <v>90</v>
      </c>
      <c r="K109" s="24" t="n">
        <f aca="false">IF(H109&gt;=TotalStations,0,IF(B109="Dédié",MIN(FLOOR(420/J109,1),(TotalStations-H109)),MIN(2,(TotalStations-H109))))</f>
        <v>2</v>
      </c>
      <c r="L109" s="24" t="n">
        <f aca="false">H109+K109</f>
        <v>88</v>
      </c>
      <c r="M109" s="24" t="n">
        <f aca="false">Q108</f>
        <v>100</v>
      </c>
      <c r="N109" s="24" t="str">
        <f aca="false">IF(M109&gt;=TotalStations,"Terminé",INDEX($A$10:$A$25,MATCH(SUMPRODUCT(($A$10:$A$25&lt;&gt;"")*($D$10:$D$25&lt;=M109))+1,$E$10:$E$25,0)))</f>
        <v>P2R</v>
      </c>
      <c r="O109" s="24" t="n">
        <f aca="false">IF(M109&gt;=TotalStations,"",INDEX($C$10:$C$25,MATCH(SUMPRODUCT(($A$10:$A$25&lt;&gt;"")*($D$10:$D$25&lt;=M109))+1,$E$10:$E$25,0)))</f>
        <v>90</v>
      </c>
      <c r="P109" s="24" t="n">
        <f aca="false">IF(M109&gt;=TotalStations,0,MIN(FLOOR(420/O109,1),(TotalStations-M109)))</f>
        <v>4</v>
      </c>
      <c r="Q109" s="24" t="n">
        <f aca="false">M109+P109</f>
        <v>104</v>
      </c>
    </row>
    <row r="110" customFormat="false" ht="15" hidden="false" customHeight="true" outlineLevel="0" collapsed="false">
      <c r="A110" s="37" t="n">
        <f aca="false">WORKDAY(A109,1)</f>
        <v>46325</v>
      </c>
      <c r="B110" s="24" t="str">
        <f aca="false">IF(COUNTIF($B$5:$F$5,A110)&gt;0,"Dédié","Normal")</f>
        <v>Normal</v>
      </c>
      <c r="C110" s="24" t="n">
        <f aca="false">G109</f>
        <v>46</v>
      </c>
      <c r="D110" s="24" t="str">
        <f aca="false">IF(C110&gt;=TotalStations,"Terminé",INDEX($A$10:$A$25,MATCH(SUMPRODUCT(($A$10:$A$25&lt;&gt;"")*($D$10:$D$25&lt;=C110))+1,$E$10:$E$25,0)))</f>
        <v>Single 2</v>
      </c>
      <c r="E110" s="24" t="n">
        <f aca="false">IF(C110&gt;=TotalStations,"",INDEX($C$10:$C$25,MATCH(SUMPRODUCT(($A$10:$A$25&lt;&gt;"")*($D$10:$D$25&lt;=C110))+1,$E$10:$E$25,0)))</f>
        <v>180</v>
      </c>
      <c r="F110" s="24" t="n">
        <f aca="false">IF(C110&gt;=TotalStations,0,IF(B110="Dédié",MIN(FLOOR(420/E110,1),(TotalStations-C110)),MIN(1,(TotalStations-C110))))</f>
        <v>1</v>
      </c>
      <c r="G110" s="24" t="n">
        <f aca="false">C110+F110</f>
        <v>47</v>
      </c>
      <c r="H110" s="24" t="n">
        <f aca="false">L109</f>
        <v>88</v>
      </c>
      <c r="I110" s="24" t="str">
        <f aca="false">IF(H110&gt;=TotalStations,"Terminé",INDEX($A$10:$A$25,MATCH(SUMPRODUCT(($A$10:$A$25&lt;&gt;"")*($D$10:$D$25&lt;=H110))+1,$E$10:$E$25,0)))</f>
        <v>P2R</v>
      </c>
      <c r="J110" s="24" t="n">
        <f aca="false">IF(H110&gt;=TotalStations,"",INDEX($C$10:$C$25,MATCH(SUMPRODUCT(($A$10:$A$25&lt;&gt;"")*($D$10:$D$25&lt;=H110))+1,$E$10:$E$25,0)))</f>
        <v>90</v>
      </c>
      <c r="K110" s="24" t="n">
        <f aca="false">IF(H110&gt;=TotalStations,0,IF(B110="Dédié",MIN(FLOOR(420/J110,1),(TotalStations-H110)),MIN(2,(TotalStations-H110))))</f>
        <v>2</v>
      </c>
      <c r="L110" s="24" t="n">
        <f aca="false">H110+K110</f>
        <v>90</v>
      </c>
      <c r="M110" s="24" t="n">
        <f aca="false">Q109</f>
        <v>104</v>
      </c>
      <c r="N110" s="24" t="str">
        <f aca="false">IF(M110&gt;=TotalStations,"Terminé",INDEX($A$10:$A$25,MATCH(SUMPRODUCT(($A$10:$A$25&lt;&gt;"")*($D$10:$D$25&lt;=M110))+1,$E$10:$E$25,0)))</f>
        <v>P2R</v>
      </c>
      <c r="O110" s="24" t="n">
        <f aca="false">IF(M110&gt;=TotalStations,"",INDEX($C$10:$C$25,MATCH(SUMPRODUCT(($A$10:$A$25&lt;&gt;"")*($D$10:$D$25&lt;=M110))+1,$E$10:$E$25,0)))</f>
        <v>90</v>
      </c>
      <c r="P110" s="24" t="n">
        <f aca="false">IF(M110&gt;=TotalStations,0,MIN(FLOOR(420/O110,1),(TotalStations-M110)))</f>
        <v>4</v>
      </c>
      <c r="Q110" s="24" t="n">
        <f aca="false">M110+P110</f>
        <v>108</v>
      </c>
    </row>
    <row r="111" customFormat="false" ht="15" hidden="false" customHeight="true" outlineLevel="0" collapsed="false">
      <c r="A111" s="37" t="n">
        <f aca="false">WORKDAY(A110,1)</f>
        <v>46328</v>
      </c>
      <c r="B111" s="24" t="str">
        <f aca="false">IF(COUNTIF($B$5:$F$5,A111)&gt;0,"Dédié","Normal")</f>
        <v>Normal</v>
      </c>
      <c r="C111" s="24" t="n">
        <f aca="false">G110</f>
        <v>47</v>
      </c>
      <c r="D111" s="24" t="str">
        <f aca="false">IF(C111&gt;=TotalStations,"Terminé",INDEX($A$10:$A$25,MATCH(SUMPRODUCT(($A$10:$A$25&lt;&gt;"")*($D$10:$D$25&lt;=C111))+1,$E$10:$E$25,0)))</f>
        <v>Single 2</v>
      </c>
      <c r="E111" s="24" t="n">
        <f aca="false">IF(C111&gt;=TotalStations,"",INDEX($C$10:$C$25,MATCH(SUMPRODUCT(($A$10:$A$25&lt;&gt;"")*($D$10:$D$25&lt;=C111))+1,$E$10:$E$25,0)))</f>
        <v>180</v>
      </c>
      <c r="F111" s="24" t="n">
        <f aca="false">IF(C111&gt;=TotalStations,0,IF(B111="Dédié",MIN(FLOOR(420/E111,1),(TotalStations-C111)),MIN(1,(TotalStations-C111))))</f>
        <v>1</v>
      </c>
      <c r="G111" s="24" t="n">
        <f aca="false">C111+F111</f>
        <v>48</v>
      </c>
      <c r="H111" s="24" t="n">
        <f aca="false">L110</f>
        <v>90</v>
      </c>
      <c r="I111" s="24" t="str">
        <f aca="false">IF(H111&gt;=TotalStations,"Terminé",INDEX($A$10:$A$25,MATCH(SUMPRODUCT(($A$10:$A$25&lt;&gt;"")*($D$10:$D$25&lt;=H111))+1,$E$10:$E$25,0)))</f>
        <v>P2R</v>
      </c>
      <c r="J111" s="24" t="n">
        <f aca="false">IF(H111&gt;=TotalStations,"",INDEX($C$10:$C$25,MATCH(SUMPRODUCT(($A$10:$A$25&lt;&gt;"")*($D$10:$D$25&lt;=H111))+1,$E$10:$E$25,0)))</f>
        <v>90</v>
      </c>
      <c r="K111" s="24" t="n">
        <f aca="false">IF(H111&gt;=TotalStations,0,IF(B111="Dédié",MIN(FLOOR(420/J111,1),(TotalStations-H111)),MIN(2,(TotalStations-H111))))</f>
        <v>2</v>
      </c>
      <c r="L111" s="24" t="n">
        <f aca="false">H111+K111</f>
        <v>92</v>
      </c>
      <c r="M111" s="24" t="n">
        <f aca="false">Q110</f>
        <v>108</v>
      </c>
      <c r="N111" s="24" t="str">
        <f aca="false">IF(M111&gt;=TotalStations,"Terminé",INDEX($A$10:$A$25,MATCH(SUMPRODUCT(($A$10:$A$25&lt;&gt;"")*($D$10:$D$25&lt;=M111))+1,$E$10:$E$25,0)))</f>
        <v>P2R</v>
      </c>
      <c r="O111" s="24" t="n">
        <f aca="false">IF(M111&gt;=TotalStations,"",INDEX($C$10:$C$25,MATCH(SUMPRODUCT(($A$10:$A$25&lt;&gt;"")*($D$10:$D$25&lt;=M111))+1,$E$10:$E$25,0)))</f>
        <v>90</v>
      </c>
      <c r="P111" s="24" t="n">
        <f aca="false">IF(M111&gt;=TotalStations,0,MIN(FLOOR(420/O111,1),(TotalStations-M111)))</f>
        <v>4</v>
      </c>
      <c r="Q111" s="24" t="n">
        <f aca="false">M111+P111</f>
        <v>112</v>
      </c>
    </row>
    <row r="112" customFormat="false" ht="15" hidden="false" customHeight="true" outlineLevel="0" collapsed="false">
      <c r="A112" s="37" t="n">
        <f aca="false">WORKDAY(A111,1)</f>
        <v>46329</v>
      </c>
      <c r="B112" s="24" t="str">
        <f aca="false">IF(COUNTIF($B$5:$F$5,A112)&gt;0,"Dédié","Normal")</f>
        <v>Normal</v>
      </c>
      <c r="C112" s="24" t="n">
        <f aca="false">G111</f>
        <v>48</v>
      </c>
      <c r="D112" s="24" t="str">
        <f aca="false">IF(C112&gt;=TotalStations,"Terminé",INDEX($A$10:$A$25,MATCH(SUMPRODUCT(($A$10:$A$25&lt;&gt;"")*($D$10:$D$25&lt;=C112))+1,$E$10:$E$25,0)))</f>
        <v>Single 2</v>
      </c>
      <c r="E112" s="24" t="n">
        <f aca="false">IF(C112&gt;=TotalStations,"",INDEX($C$10:$C$25,MATCH(SUMPRODUCT(($A$10:$A$25&lt;&gt;"")*($D$10:$D$25&lt;=C112))+1,$E$10:$E$25,0)))</f>
        <v>180</v>
      </c>
      <c r="F112" s="24" t="n">
        <f aca="false">IF(C112&gt;=TotalStations,0,IF(B112="Dédié",MIN(FLOOR(420/E112,1),(TotalStations-C112)),MIN(1,(TotalStations-C112))))</f>
        <v>1</v>
      </c>
      <c r="G112" s="24" t="n">
        <f aca="false">C112+F112</f>
        <v>49</v>
      </c>
      <c r="H112" s="24" t="n">
        <f aca="false">L111</f>
        <v>92</v>
      </c>
      <c r="I112" s="24" t="str">
        <f aca="false">IF(H112&gt;=TotalStations,"Terminé",INDEX($A$10:$A$25,MATCH(SUMPRODUCT(($A$10:$A$25&lt;&gt;"")*($D$10:$D$25&lt;=H112))+1,$E$10:$E$25,0)))</f>
        <v>P2R</v>
      </c>
      <c r="J112" s="24" t="n">
        <f aca="false">IF(H112&gt;=TotalStations,"",INDEX($C$10:$C$25,MATCH(SUMPRODUCT(($A$10:$A$25&lt;&gt;"")*($D$10:$D$25&lt;=H112))+1,$E$10:$E$25,0)))</f>
        <v>90</v>
      </c>
      <c r="K112" s="24" t="n">
        <f aca="false">IF(H112&gt;=TotalStations,0,IF(B112="Dédié",MIN(FLOOR(420/J112,1),(TotalStations-H112)),MIN(2,(TotalStations-H112))))</f>
        <v>2</v>
      </c>
      <c r="L112" s="24" t="n">
        <f aca="false">H112+K112</f>
        <v>94</v>
      </c>
      <c r="M112" s="24" t="n">
        <f aca="false">Q111</f>
        <v>112</v>
      </c>
      <c r="N112" s="24" t="str">
        <f aca="false">IF(M112&gt;=TotalStations,"Terminé",INDEX($A$10:$A$25,MATCH(SUMPRODUCT(($A$10:$A$25&lt;&gt;"")*($D$10:$D$25&lt;=M112))+1,$E$10:$E$25,0)))</f>
        <v>P2R</v>
      </c>
      <c r="O112" s="24" t="n">
        <f aca="false">IF(M112&gt;=TotalStations,"",INDEX($C$10:$C$25,MATCH(SUMPRODUCT(($A$10:$A$25&lt;&gt;"")*($D$10:$D$25&lt;=M112))+1,$E$10:$E$25,0)))</f>
        <v>90</v>
      </c>
      <c r="P112" s="24" t="n">
        <f aca="false">IF(M112&gt;=TotalStations,0,MIN(FLOOR(420/O112,1),(TotalStations-M112)))</f>
        <v>4</v>
      </c>
      <c r="Q112" s="24" t="n">
        <f aca="false">M112+P112</f>
        <v>116</v>
      </c>
    </row>
    <row r="113" customFormat="false" ht="15" hidden="false" customHeight="true" outlineLevel="0" collapsed="false">
      <c r="A113" s="37" t="n">
        <f aca="false">WORKDAY(A112,1)</f>
        <v>46330</v>
      </c>
      <c r="B113" s="24" t="str">
        <f aca="false">IF(COUNTIF($B$5:$F$5,A113)&gt;0,"Dédié","Normal")</f>
        <v>Normal</v>
      </c>
      <c r="C113" s="24" t="n">
        <f aca="false">G112</f>
        <v>49</v>
      </c>
      <c r="D113" s="24" t="str">
        <f aca="false">IF(C113&gt;=TotalStations,"Terminé",INDEX($A$10:$A$25,MATCH(SUMPRODUCT(($A$10:$A$25&lt;&gt;"")*($D$10:$D$25&lt;=C113))+1,$E$10:$E$25,0)))</f>
        <v>Single 2</v>
      </c>
      <c r="E113" s="24" t="n">
        <f aca="false">IF(C113&gt;=TotalStations,"",INDEX($C$10:$C$25,MATCH(SUMPRODUCT(($A$10:$A$25&lt;&gt;"")*($D$10:$D$25&lt;=C113))+1,$E$10:$E$25,0)))</f>
        <v>180</v>
      </c>
      <c r="F113" s="24" t="n">
        <f aca="false">IF(C113&gt;=TotalStations,0,IF(B113="Dédié",MIN(FLOOR(420/E113,1),(TotalStations-C113)),MIN(1,(TotalStations-C113))))</f>
        <v>1</v>
      </c>
      <c r="G113" s="24" t="n">
        <f aca="false">C113+F113</f>
        <v>50</v>
      </c>
      <c r="H113" s="24" t="n">
        <f aca="false">L112</f>
        <v>94</v>
      </c>
      <c r="I113" s="24" t="str">
        <f aca="false">IF(H113&gt;=TotalStations,"Terminé",INDEX($A$10:$A$25,MATCH(SUMPRODUCT(($A$10:$A$25&lt;&gt;"")*($D$10:$D$25&lt;=H113))+1,$E$10:$E$25,0)))</f>
        <v>P2R</v>
      </c>
      <c r="J113" s="24" t="n">
        <f aca="false">IF(H113&gt;=TotalStations,"",INDEX($C$10:$C$25,MATCH(SUMPRODUCT(($A$10:$A$25&lt;&gt;"")*($D$10:$D$25&lt;=H113))+1,$E$10:$E$25,0)))</f>
        <v>90</v>
      </c>
      <c r="K113" s="24" t="n">
        <f aca="false">IF(H113&gt;=TotalStations,0,IF(B113="Dédié",MIN(FLOOR(420/J113,1),(TotalStations-H113)),MIN(2,(TotalStations-H113))))</f>
        <v>2</v>
      </c>
      <c r="L113" s="24" t="n">
        <f aca="false">H113+K113</f>
        <v>96</v>
      </c>
      <c r="M113" s="24" t="n">
        <f aca="false">Q112</f>
        <v>116</v>
      </c>
      <c r="N113" s="24" t="str">
        <f aca="false">IF(M113&gt;=TotalStations,"Terminé",INDEX($A$10:$A$25,MATCH(SUMPRODUCT(($A$10:$A$25&lt;&gt;"")*($D$10:$D$25&lt;=M113))+1,$E$10:$E$25,0)))</f>
        <v>P2R</v>
      </c>
      <c r="O113" s="24" t="n">
        <f aca="false">IF(M113&gt;=TotalStations,"",INDEX($C$10:$C$25,MATCH(SUMPRODUCT(($A$10:$A$25&lt;&gt;"")*($D$10:$D$25&lt;=M113))+1,$E$10:$E$25,0)))</f>
        <v>90</v>
      </c>
      <c r="P113" s="24" t="n">
        <f aca="false">IF(M113&gt;=TotalStations,0,MIN(FLOOR(420/O113,1),(TotalStations-M113)))</f>
        <v>4</v>
      </c>
      <c r="Q113" s="24" t="n">
        <f aca="false">M113+P113</f>
        <v>120</v>
      </c>
    </row>
    <row r="114" customFormat="false" ht="15" hidden="false" customHeight="true" outlineLevel="0" collapsed="false">
      <c r="A114" s="37" t="n">
        <f aca="false">WORKDAY(A113,1)</f>
        <v>46331</v>
      </c>
      <c r="B114" s="24" t="str">
        <f aca="false">IF(COUNTIF($B$5:$F$5,A114)&gt;0,"Dédié","Normal")</f>
        <v>Normal</v>
      </c>
      <c r="C114" s="24" t="n">
        <f aca="false">G113</f>
        <v>50</v>
      </c>
      <c r="D114" s="24" t="str">
        <f aca="false">IF(C114&gt;=TotalStations,"Terminé",INDEX($A$10:$A$25,MATCH(SUMPRODUCT(($A$10:$A$25&lt;&gt;"")*($D$10:$D$25&lt;=C114))+1,$E$10:$E$25,0)))</f>
        <v>Single 2</v>
      </c>
      <c r="E114" s="24" t="n">
        <f aca="false">IF(C114&gt;=TotalStations,"",INDEX($C$10:$C$25,MATCH(SUMPRODUCT(($A$10:$A$25&lt;&gt;"")*($D$10:$D$25&lt;=C114))+1,$E$10:$E$25,0)))</f>
        <v>180</v>
      </c>
      <c r="F114" s="24" t="n">
        <f aca="false">IF(C114&gt;=TotalStations,0,IF(B114="Dédié",MIN(FLOOR(420/E114,1),(TotalStations-C114)),MIN(1,(TotalStations-C114))))</f>
        <v>1</v>
      </c>
      <c r="G114" s="24" t="n">
        <f aca="false">C114+F114</f>
        <v>51</v>
      </c>
      <c r="H114" s="24" t="n">
        <f aca="false">L113</f>
        <v>96</v>
      </c>
      <c r="I114" s="24" t="str">
        <f aca="false">IF(H114&gt;=TotalStations,"Terminé",INDEX($A$10:$A$25,MATCH(SUMPRODUCT(($A$10:$A$25&lt;&gt;"")*($D$10:$D$25&lt;=H114))+1,$E$10:$E$25,0)))</f>
        <v>P2R</v>
      </c>
      <c r="J114" s="24" t="n">
        <f aca="false">IF(H114&gt;=TotalStations,"",INDEX($C$10:$C$25,MATCH(SUMPRODUCT(($A$10:$A$25&lt;&gt;"")*($D$10:$D$25&lt;=H114))+1,$E$10:$E$25,0)))</f>
        <v>90</v>
      </c>
      <c r="K114" s="24" t="n">
        <f aca="false">IF(H114&gt;=TotalStations,0,IF(B114="Dédié",MIN(FLOOR(420/J114,1),(TotalStations-H114)),MIN(2,(TotalStations-H114))))</f>
        <v>2</v>
      </c>
      <c r="L114" s="24" t="n">
        <f aca="false">H114+K114</f>
        <v>98</v>
      </c>
      <c r="M114" s="24" t="n">
        <f aca="false">Q113</f>
        <v>120</v>
      </c>
      <c r="N114" s="24" t="str">
        <f aca="false">IF(M114&gt;=TotalStations,"Terminé",INDEX($A$10:$A$25,MATCH(SUMPRODUCT(($A$10:$A$25&lt;&gt;"")*($D$10:$D$25&lt;=M114))+1,$E$10:$E$25,0)))</f>
        <v>P2R</v>
      </c>
      <c r="O114" s="24" t="n">
        <f aca="false">IF(M114&gt;=TotalStations,"",INDEX($C$10:$C$25,MATCH(SUMPRODUCT(($A$10:$A$25&lt;&gt;"")*($D$10:$D$25&lt;=M114))+1,$E$10:$E$25,0)))</f>
        <v>90</v>
      </c>
      <c r="P114" s="24" t="n">
        <f aca="false">IF(M114&gt;=TotalStations,0,MIN(FLOOR(420/O114,1),(TotalStations-M114)))</f>
        <v>4</v>
      </c>
      <c r="Q114" s="24" t="n">
        <f aca="false">M114+P114</f>
        <v>124</v>
      </c>
    </row>
    <row r="115" customFormat="false" ht="15" hidden="false" customHeight="true" outlineLevel="0" collapsed="false">
      <c r="A115" s="37" t="n">
        <f aca="false">WORKDAY(A114,1)</f>
        <v>46332</v>
      </c>
      <c r="B115" s="24" t="str">
        <f aca="false">IF(COUNTIF($B$5:$F$5,A115)&gt;0,"Dédié","Normal")</f>
        <v>Normal</v>
      </c>
      <c r="C115" s="24" t="n">
        <f aca="false">G114</f>
        <v>51</v>
      </c>
      <c r="D115" s="24" t="str">
        <f aca="false">IF(C115&gt;=TotalStations,"Terminé",INDEX($A$10:$A$25,MATCH(SUMPRODUCT(($A$10:$A$25&lt;&gt;"")*($D$10:$D$25&lt;=C115))+1,$E$10:$E$25,0)))</f>
        <v>Single 2</v>
      </c>
      <c r="E115" s="24" t="n">
        <f aca="false">IF(C115&gt;=TotalStations,"",INDEX($C$10:$C$25,MATCH(SUMPRODUCT(($A$10:$A$25&lt;&gt;"")*($D$10:$D$25&lt;=C115))+1,$E$10:$E$25,0)))</f>
        <v>180</v>
      </c>
      <c r="F115" s="24" t="n">
        <f aca="false">IF(C115&gt;=TotalStations,0,IF(B115="Dédié",MIN(FLOOR(420/E115,1),(TotalStations-C115)),MIN(1,(TotalStations-C115))))</f>
        <v>1</v>
      </c>
      <c r="G115" s="24" t="n">
        <f aca="false">C115+F115</f>
        <v>52</v>
      </c>
      <c r="H115" s="24" t="n">
        <f aca="false">L114</f>
        <v>98</v>
      </c>
      <c r="I115" s="24" t="str">
        <f aca="false">IF(H115&gt;=TotalStations,"Terminé",INDEX($A$10:$A$25,MATCH(SUMPRODUCT(($A$10:$A$25&lt;&gt;"")*($D$10:$D$25&lt;=H115))+1,$E$10:$E$25,0)))</f>
        <v>P2R</v>
      </c>
      <c r="J115" s="24" t="n">
        <f aca="false">IF(H115&gt;=TotalStations,"",INDEX($C$10:$C$25,MATCH(SUMPRODUCT(($A$10:$A$25&lt;&gt;"")*($D$10:$D$25&lt;=H115))+1,$E$10:$E$25,0)))</f>
        <v>90</v>
      </c>
      <c r="K115" s="24" t="n">
        <f aca="false">IF(H115&gt;=TotalStations,0,IF(B115="Dédié",MIN(FLOOR(420/J115,1),(TotalStations-H115)),MIN(2,(TotalStations-H115))))</f>
        <v>2</v>
      </c>
      <c r="L115" s="24" t="n">
        <f aca="false">H115+K115</f>
        <v>100</v>
      </c>
      <c r="M115" s="24" t="n">
        <f aca="false">Q114</f>
        <v>124</v>
      </c>
      <c r="N115" s="24" t="str">
        <f aca="false">IF(M115&gt;=TotalStations,"Terminé",INDEX($A$10:$A$25,MATCH(SUMPRODUCT(($A$10:$A$25&lt;&gt;"")*($D$10:$D$25&lt;=M115))+1,$E$10:$E$25,0)))</f>
        <v>P2R</v>
      </c>
      <c r="O115" s="24" t="n">
        <f aca="false">IF(M115&gt;=TotalStations,"",INDEX($C$10:$C$25,MATCH(SUMPRODUCT(($A$10:$A$25&lt;&gt;"")*($D$10:$D$25&lt;=M115))+1,$E$10:$E$25,0)))</f>
        <v>90</v>
      </c>
      <c r="P115" s="24" t="n">
        <f aca="false">IF(M115&gt;=TotalStations,0,MIN(FLOOR(420/O115,1),(TotalStations-M115)))</f>
        <v>4</v>
      </c>
      <c r="Q115" s="24" t="n">
        <f aca="false">M115+P115</f>
        <v>128</v>
      </c>
    </row>
    <row r="116" customFormat="false" ht="15" hidden="false" customHeight="true" outlineLevel="0" collapsed="false">
      <c r="A116" s="37" t="n">
        <f aca="false">WORKDAY(A115,1)</f>
        <v>46335</v>
      </c>
      <c r="B116" s="24" t="str">
        <f aca="false">IF(COUNTIF($B$5:$F$5,A116)&gt;0,"Dédié","Normal")</f>
        <v>Normal</v>
      </c>
      <c r="C116" s="24" t="n">
        <f aca="false">G115</f>
        <v>52</v>
      </c>
      <c r="D116" s="24" t="str">
        <f aca="false">IF(C116&gt;=TotalStations,"Terminé",INDEX($A$10:$A$25,MATCH(SUMPRODUCT(($A$10:$A$25&lt;&gt;"")*($D$10:$D$25&lt;=C116))+1,$E$10:$E$25,0)))</f>
        <v>PCNS 1</v>
      </c>
      <c r="E116" s="24" t="n">
        <f aca="false">IF(C116&gt;=TotalStations,"",INDEX($C$10:$C$25,MATCH(SUMPRODUCT(($A$10:$A$25&lt;&gt;"")*($D$10:$D$25&lt;=C116))+1,$E$10:$E$25,0)))</f>
        <v>150</v>
      </c>
      <c r="F116" s="24" t="n">
        <f aca="false">IF(C116&gt;=TotalStations,0,IF(B116="Dédié",MIN(FLOOR(420/E116,1),(TotalStations-C116)),MIN(1,(TotalStations-C116))))</f>
        <v>1</v>
      </c>
      <c r="G116" s="24" t="n">
        <f aca="false">C116+F116</f>
        <v>53</v>
      </c>
      <c r="H116" s="24" t="n">
        <f aca="false">L115</f>
        <v>100</v>
      </c>
      <c r="I116" s="24" t="str">
        <f aca="false">IF(H116&gt;=TotalStations,"Terminé",INDEX($A$10:$A$25,MATCH(SUMPRODUCT(($A$10:$A$25&lt;&gt;"")*($D$10:$D$25&lt;=H116))+1,$E$10:$E$25,0)))</f>
        <v>P2R</v>
      </c>
      <c r="J116" s="24" t="n">
        <f aca="false">IF(H116&gt;=TotalStations,"",INDEX($C$10:$C$25,MATCH(SUMPRODUCT(($A$10:$A$25&lt;&gt;"")*($D$10:$D$25&lt;=H116))+1,$E$10:$E$25,0)))</f>
        <v>90</v>
      </c>
      <c r="K116" s="24" t="n">
        <f aca="false">IF(H116&gt;=TotalStations,0,IF(B116="Dédié",MIN(FLOOR(420/J116,1),(TotalStations-H116)),MIN(2,(TotalStations-H116))))</f>
        <v>2</v>
      </c>
      <c r="L116" s="24" t="n">
        <f aca="false">H116+K116</f>
        <v>102</v>
      </c>
      <c r="M116" s="24" t="n">
        <f aca="false">Q115</f>
        <v>128</v>
      </c>
      <c r="N116" s="24" t="str">
        <f aca="false">IF(M116&gt;=TotalStations,"Terminé",INDEX($A$10:$A$25,MATCH(SUMPRODUCT(($A$10:$A$25&lt;&gt;"")*($D$10:$D$25&lt;=M116))+1,$E$10:$E$25,0)))</f>
        <v>P2R</v>
      </c>
      <c r="O116" s="24" t="n">
        <f aca="false">IF(M116&gt;=TotalStations,"",INDEX($C$10:$C$25,MATCH(SUMPRODUCT(($A$10:$A$25&lt;&gt;"")*($D$10:$D$25&lt;=M116))+1,$E$10:$E$25,0)))</f>
        <v>90</v>
      </c>
      <c r="P116" s="24" t="n">
        <f aca="false">IF(M116&gt;=TotalStations,0,MIN(FLOOR(420/O116,1),(TotalStations-M116)))</f>
        <v>4</v>
      </c>
      <c r="Q116" s="24" t="n">
        <f aca="false">M116+P116</f>
        <v>132</v>
      </c>
    </row>
    <row r="117" customFormat="false" ht="15" hidden="false" customHeight="true" outlineLevel="0" collapsed="false">
      <c r="A117" s="37" t="n">
        <f aca="false">WORKDAY(A116,1)</f>
        <v>46336</v>
      </c>
      <c r="B117" s="24" t="str">
        <f aca="false">IF(COUNTIF($B$5:$F$5,A117)&gt;0,"Dédié","Normal")</f>
        <v>Normal</v>
      </c>
      <c r="C117" s="24" t="n">
        <f aca="false">G116</f>
        <v>53</v>
      </c>
      <c r="D117" s="24" t="str">
        <f aca="false">IF(C117&gt;=TotalStations,"Terminé",INDEX($A$10:$A$25,MATCH(SUMPRODUCT(($A$10:$A$25&lt;&gt;"")*($D$10:$D$25&lt;=C117))+1,$E$10:$E$25,0)))</f>
        <v>PCNS 1</v>
      </c>
      <c r="E117" s="24" t="n">
        <f aca="false">IF(C117&gt;=TotalStations,"",INDEX($C$10:$C$25,MATCH(SUMPRODUCT(($A$10:$A$25&lt;&gt;"")*($D$10:$D$25&lt;=C117))+1,$E$10:$E$25,0)))</f>
        <v>150</v>
      </c>
      <c r="F117" s="24" t="n">
        <f aca="false">IF(C117&gt;=TotalStations,0,IF(B117="Dédié",MIN(FLOOR(420/E117,1),(TotalStations-C117)),MIN(1,(TotalStations-C117))))</f>
        <v>1</v>
      </c>
      <c r="G117" s="24" t="n">
        <f aca="false">C117+F117</f>
        <v>54</v>
      </c>
      <c r="H117" s="24" t="n">
        <f aca="false">L116</f>
        <v>102</v>
      </c>
      <c r="I117" s="24" t="str">
        <f aca="false">IF(H117&gt;=TotalStations,"Terminé",INDEX($A$10:$A$25,MATCH(SUMPRODUCT(($A$10:$A$25&lt;&gt;"")*($D$10:$D$25&lt;=H117))+1,$E$10:$E$25,0)))</f>
        <v>P2R</v>
      </c>
      <c r="J117" s="24" t="n">
        <f aca="false">IF(H117&gt;=TotalStations,"",INDEX($C$10:$C$25,MATCH(SUMPRODUCT(($A$10:$A$25&lt;&gt;"")*($D$10:$D$25&lt;=H117))+1,$E$10:$E$25,0)))</f>
        <v>90</v>
      </c>
      <c r="K117" s="24" t="n">
        <f aca="false">IF(H117&gt;=TotalStations,0,IF(B117="Dédié",MIN(FLOOR(420/J117,1),(TotalStations-H117)),MIN(2,(TotalStations-H117))))</f>
        <v>2</v>
      </c>
      <c r="L117" s="24" t="n">
        <f aca="false">H117+K117</f>
        <v>104</v>
      </c>
      <c r="M117" s="24" t="n">
        <f aca="false">Q116</f>
        <v>132</v>
      </c>
      <c r="N117" s="24" t="str">
        <f aca="false">IF(M117&gt;=TotalStations,"Terminé",INDEX($A$10:$A$25,MATCH(SUMPRODUCT(($A$10:$A$25&lt;&gt;"")*($D$10:$D$25&lt;=M117))+1,$E$10:$E$25,0)))</f>
        <v>Jackpot</v>
      </c>
      <c r="O117" s="24" t="n">
        <f aca="false">IF(M117&gt;=TotalStations,"",INDEX($C$10:$C$25,MATCH(SUMPRODUCT(($A$10:$A$25&lt;&gt;"")*($D$10:$D$25&lt;=M117))+1,$E$10:$E$25,0)))</f>
        <v>180</v>
      </c>
      <c r="P117" s="24" t="n">
        <f aca="false">IF(M117&gt;=TotalStations,0,MIN(FLOOR(420/O117,1),(TotalStations-M117)))</f>
        <v>2</v>
      </c>
      <c r="Q117" s="24" t="n">
        <f aca="false">M117+P117</f>
        <v>134</v>
      </c>
    </row>
    <row r="118" customFormat="false" ht="15" hidden="false" customHeight="true" outlineLevel="0" collapsed="false">
      <c r="A118" s="37" t="n">
        <f aca="false">WORKDAY(A117,1)</f>
        <v>46337</v>
      </c>
      <c r="B118" s="24" t="str">
        <f aca="false">IF(COUNTIF($B$5:$F$5,A118)&gt;0,"Dédié","Normal")</f>
        <v>Normal</v>
      </c>
      <c r="C118" s="24" t="n">
        <f aca="false">G117</f>
        <v>54</v>
      </c>
      <c r="D118" s="24" t="str">
        <f aca="false">IF(C118&gt;=TotalStations,"Terminé",INDEX($A$10:$A$25,MATCH(SUMPRODUCT(($A$10:$A$25&lt;&gt;"")*($D$10:$D$25&lt;=C118))+1,$E$10:$E$25,0)))</f>
        <v>PCNS 1</v>
      </c>
      <c r="E118" s="24" t="n">
        <f aca="false">IF(C118&gt;=TotalStations,"",INDEX($C$10:$C$25,MATCH(SUMPRODUCT(($A$10:$A$25&lt;&gt;"")*($D$10:$D$25&lt;=C118))+1,$E$10:$E$25,0)))</f>
        <v>150</v>
      </c>
      <c r="F118" s="24" t="n">
        <f aca="false">IF(C118&gt;=TotalStations,0,IF(B118="Dédié",MIN(FLOOR(420/E118,1),(TotalStations-C118)),MIN(1,(TotalStations-C118))))</f>
        <v>1</v>
      </c>
      <c r="G118" s="24" t="n">
        <f aca="false">C118+F118</f>
        <v>55</v>
      </c>
      <c r="H118" s="24" t="n">
        <f aca="false">L117</f>
        <v>104</v>
      </c>
      <c r="I118" s="24" t="str">
        <f aca="false">IF(H118&gt;=TotalStations,"Terminé",INDEX($A$10:$A$25,MATCH(SUMPRODUCT(($A$10:$A$25&lt;&gt;"")*($D$10:$D$25&lt;=H118))+1,$E$10:$E$25,0)))</f>
        <v>P2R</v>
      </c>
      <c r="J118" s="24" t="n">
        <f aca="false">IF(H118&gt;=TotalStations,"",INDEX($C$10:$C$25,MATCH(SUMPRODUCT(($A$10:$A$25&lt;&gt;"")*($D$10:$D$25&lt;=H118))+1,$E$10:$E$25,0)))</f>
        <v>90</v>
      </c>
      <c r="K118" s="24" t="n">
        <f aca="false">IF(H118&gt;=TotalStations,0,IF(B118="Dédié",MIN(FLOOR(420/J118,1),(TotalStations-H118)),MIN(2,(TotalStations-H118))))</f>
        <v>2</v>
      </c>
      <c r="L118" s="24" t="n">
        <f aca="false">H118+K118</f>
        <v>106</v>
      </c>
      <c r="M118" s="24" t="n">
        <f aca="false">Q117</f>
        <v>134</v>
      </c>
      <c r="N118" s="24" t="str">
        <f aca="false">IF(M118&gt;=TotalStations,"Terminé",INDEX($A$10:$A$25,MATCH(SUMPRODUCT(($A$10:$A$25&lt;&gt;"")*($D$10:$D$25&lt;=M118))+1,$E$10:$E$25,0)))</f>
        <v>VRET</v>
      </c>
      <c r="O118" s="24" t="n">
        <f aca="false">IF(M118&gt;=TotalStations,"",INDEX($C$10:$C$25,MATCH(SUMPRODUCT(($A$10:$A$25&lt;&gt;"")*($D$10:$D$25&lt;=M118))+1,$E$10:$E$25,0)))</f>
        <v>150</v>
      </c>
      <c r="P118" s="24" t="n">
        <f aca="false">IF(M118&gt;=TotalStations,0,MIN(FLOOR(420/O118,1),(TotalStations-M118)))</f>
        <v>2</v>
      </c>
      <c r="Q118" s="24" t="n">
        <f aca="false">M118+P118</f>
        <v>136</v>
      </c>
    </row>
    <row r="119" customFormat="false" ht="15" hidden="false" customHeight="true" outlineLevel="0" collapsed="false">
      <c r="A119" s="37" t="n">
        <f aca="false">WORKDAY(A118,1)</f>
        <v>46338</v>
      </c>
      <c r="B119" s="24" t="str">
        <f aca="false">IF(COUNTIF($B$5:$F$5,A119)&gt;0,"Dédié","Normal")</f>
        <v>Normal</v>
      </c>
      <c r="C119" s="24" t="n">
        <f aca="false">G118</f>
        <v>55</v>
      </c>
      <c r="D119" s="24" t="str">
        <f aca="false">IF(C119&gt;=TotalStations,"Terminé",INDEX($A$10:$A$25,MATCH(SUMPRODUCT(($A$10:$A$25&lt;&gt;"")*($D$10:$D$25&lt;=C119))+1,$E$10:$E$25,0)))</f>
        <v>PCNS 1</v>
      </c>
      <c r="E119" s="24" t="n">
        <f aca="false">IF(C119&gt;=TotalStations,"",INDEX($C$10:$C$25,MATCH(SUMPRODUCT(($A$10:$A$25&lt;&gt;"")*($D$10:$D$25&lt;=C119))+1,$E$10:$E$25,0)))</f>
        <v>150</v>
      </c>
      <c r="F119" s="24" t="n">
        <f aca="false">IF(C119&gt;=TotalStations,0,IF(B119="Dédié",MIN(FLOOR(420/E119,1),(TotalStations-C119)),MIN(1,(TotalStations-C119))))</f>
        <v>1</v>
      </c>
      <c r="G119" s="24" t="n">
        <f aca="false">C119+F119</f>
        <v>56</v>
      </c>
      <c r="H119" s="24" t="n">
        <f aca="false">L118</f>
        <v>106</v>
      </c>
      <c r="I119" s="24" t="str">
        <f aca="false">IF(H119&gt;=TotalStations,"Terminé",INDEX($A$10:$A$25,MATCH(SUMPRODUCT(($A$10:$A$25&lt;&gt;"")*($D$10:$D$25&lt;=H119))+1,$E$10:$E$25,0)))</f>
        <v>P2R</v>
      </c>
      <c r="J119" s="24" t="n">
        <f aca="false">IF(H119&gt;=TotalStations,"",INDEX($C$10:$C$25,MATCH(SUMPRODUCT(($A$10:$A$25&lt;&gt;"")*($D$10:$D$25&lt;=H119))+1,$E$10:$E$25,0)))</f>
        <v>90</v>
      </c>
      <c r="K119" s="24" t="n">
        <f aca="false">IF(H119&gt;=TotalStations,0,IF(B119="Dédié",MIN(FLOOR(420/J119,1),(TotalStations-H119)),MIN(2,(TotalStations-H119))))</f>
        <v>2</v>
      </c>
      <c r="L119" s="24" t="n">
        <f aca="false">H119+K119</f>
        <v>108</v>
      </c>
      <c r="M119" s="24" t="n">
        <f aca="false">Q118</f>
        <v>136</v>
      </c>
      <c r="N119" s="24" t="str">
        <f aca="false">IF(M119&gt;=TotalStations,"Terminé",INDEX($A$10:$A$25,MATCH(SUMPRODUCT(($A$10:$A$25&lt;&gt;"")*($D$10:$D$25&lt;=M119))+1,$E$10:$E$25,0)))</f>
        <v>VRET</v>
      </c>
      <c r="O119" s="24" t="n">
        <f aca="false">IF(M119&gt;=TotalStations,"",INDEX($C$10:$C$25,MATCH(SUMPRODUCT(($A$10:$A$25&lt;&gt;"")*($D$10:$D$25&lt;=M119))+1,$E$10:$E$25,0)))</f>
        <v>150</v>
      </c>
      <c r="P119" s="24" t="n">
        <f aca="false">IF(M119&gt;=TotalStations,0,MIN(FLOOR(420/O119,1),(TotalStations-M119)))</f>
        <v>2</v>
      </c>
      <c r="Q119" s="24" t="n">
        <f aca="false">M119+P119</f>
        <v>138</v>
      </c>
    </row>
    <row r="120" customFormat="false" ht="15" hidden="false" customHeight="true" outlineLevel="0" collapsed="false">
      <c r="A120" s="37" t="n">
        <f aca="false">WORKDAY(A119,1)</f>
        <v>46339</v>
      </c>
      <c r="B120" s="24" t="str">
        <f aca="false">IF(COUNTIF($B$5:$F$5,A120)&gt;0,"Dédié","Normal")</f>
        <v>Normal</v>
      </c>
      <c r="C120" s="24" t="n">
        <f aca="false">G119</f>
        <v>56</v>
      </c>
      <c r="D120" s="24" t="str">
        <f aca="false">IF(C120&gt;=TotalStations,"Terminé",INDEX($A$10:$A$25,MATCH(SUMPRODUCT(($A$10:$A$25&lt;&gt;"")*($D$10:$D$25&lt;=C120))+1,$E$10:$E$25,0)))</f>
        <v>PCNS 1</v>
      </c>
      <c r="E120" s="24" t="n">
        <f aca="false">IF(C120&gt;=TotalStations,"",INDEX($C$10:$C$25,MATCH(SUMPRODUCT(($A$10:$A$25&lt;&gt;"")*($D$10:$D$25&lt;=C120))+1,$E$10:$E$25,0)))</f>
        <v>150</v>
      </c>
      <c r="F120" s="24" t="n">
        <f aca="false">IF(C120&gt;=TotalStations,0,IF(B120="Dédié",MIN(FLOOR(420/E120,1),(TotalStations-C120)),MIN(1,(TotalStations-C120))))</f>
        <v>1</v>
      </c>
      <c r="G120" s="24" t="n">
        <f aca="false">C120+F120</f>
        <v>57</v>
      </c>
      <c r="H120" s="24" t="n">
        <f aca="false">L119</f>
        <v>108</v>
      </c>
      <c r="I120" s="24" t="str">
        <f aca="false">IF(H120&gt;=TotalStations,"Terminé",INDEX($A$10:$A$25,MATCH(SUMPRODUCT(($A$10:$A$25&lt;&gt;"")*($D$10:$D$25&lt;=H120))+1,$E$10:$E$25,0)))</f>
        <v>P2R</v>
      </c>
      <c r="J120" s="24" t="n">
        <f aca="false">IF(H120&gt;=TotalStations,"",INDEX($C$10:$C$25,MATCH(SUMPRODUCT(($A$10:$A$25&lt;&gt;"")*($D$10:$D$25&lt;=H120))+1,$E$10:$E$25,0)))</f>
        <v>90</v>
      </c>
      <c r="K120" s="24" t="n">
        <f aca="false">IF(H120&gt;=TotalStations,0,IF(B120="Dédié",MIN(FLOOR(420/J120,1),(TotalStations-H120)),MIN(2,(TotalStations-H120))))</f>
        <v>2</v>
      </c>
      <c r="L120" s="24" t="n">
        <f aca="false">H120+K120</f>
        <v>110</v>
      </c>
      <c r="M120" s="24" t="n">
        <f aca="false">Q119</f>
        <v>138</v>
      </c>
      <c r="N120" s="24" t="str">
        <f aca="false">IF(M120&gt;=TotalStations,"Terminé",INDEX($A$10:$A$25,MATCH(SUMPRODUCT(($A$10:$A$25&lt;&gt;"")*($D$10:$D$25&lt;=M120))+1,$E$10:$E$25,0)))</f>
        <v>GiftWrap</v>
      </c>
      <c r="O120" s="24" t="n">
        <f aca="false">IF(M120&gt;=TotalStations,"",INDEX($C$10:$C$25,MATCH(SUMPRODUCT(($A$10:$A$25&lt;&gt;"")*($D$10:$D$25&lt;=M120))+1,$E$10:$E$25,0)))</f>
        <v>150</v>
      </c>
      <c r="P120" s="24" t="n">
        <f aca="false">IF(M120&gt;=TotalStations,0,MIN(FLOOR(420/O120,1),(TotalStations-M120)))</f>
        <v>2</v>
      </c>
      <c r="Q120" s="24" t="n">
        <f aca="false">M120+P120</f>
        <v>140</v>
      </c>
    </row>
    <row r="121" customFormat="false" ht="15" hidden="false" customHeight="true" outlineLevel="0" collapsed="false">
      <c r="A121" s="37" t="n">
        <f aca="false">WORKDAY(A120,1)</f>
        <v>46342</v>
      </c>
      <c r="B121" s="24" t="str">
        <f aca="false">IF(COUNTIF($B$5:$F$5,A121)&gt;0,"Dédié","Normal")</f>
        <v>Normal</v>
      </c>
      <c r="C121" s="24" t="n">
        <f aca="false">G120</f>
        <v>57</v>
      </c>
      <c r="D121" s="24" t="str">
        <f aca="false">IF(C121&gt;=TotalStations,"Terminé",INDEX($A$10:$A$25,MATCH(SUMPRODUCT(($A$10:$A$25&lt;&gt;"")*($D$10:$D$25&lt;=C121))+1,$E$10:$E$25,0)))</f>
        <v>PCNS 1</v>
      </c>
      <c r="E121" s="24" t="n">
        <f aca="false">IF(C121&gt;=TotalStations,"",INDEX($C$10:$C$25,MATCH(SUMPRODUCT(($A$10:$A$25&lt;&gt;"")*($D$10:$D$25&lt;=C121))+1,$E$10:$E$25,0)))</f>
        <v>150</v>
      </c>
      <c r="F121" s="24" t="n">
        <f aca="false">IF(C121&gt;=TotalStations,0,IF(B121="Dédié",MIN(FLOOR(420/E121,1),(TotalStations-C121)),MIN(1,(TotalStations-C121))))</f>
        <v>1</v>
      </c>
      <c r="G121" s="24" t="n">
        <f aca="false">C121+F121</f>
        <v>58</v>
      </c>
      <c r="H121" s="24" t="n">
        <f aca="false">L120</f>
        <v>110</v>
      </c>
      <c r="I121" s="24" t="str">
        <f aca="false">IF(H121&gt;=TotalStations,"Terminé",INDEX($A$10:$A$25,MATCH(SUMPRODUCT(($A$10:$A$25&lt;&gt;"")*($D$10:$D$25&lt;=H121))+1,$E$10:$E$25,0)))</f>
        <v>P2R</v>
      </c>
      <c r="J121" s="24" t="n">
        <f aca="false">IF(H121&gt;=TotalStations,"",INDEX($C$10:$C$25,MATCH(SUMPRODUCT(($A$10:$A$25&lt;&gt;"")*($D$10:$D$25&lt;=H121))+1,$E$10:$E$25,0)))</f>
        <v>90</v>
      </c>
      <c r="K121" s="24" t="n">
        <f aca="false">IF(H121&gt;=TotalStations,0,IF(B121="Dédié",MIN(FLOOR(420/J121,1),(TotalStations-H121)),MIN(2,(TotalStations-H121))))</f>
        <v>2</v>
      </c>
      <c r="L121" s="24" t="n">
        <f aca="false">H121+K121</f>
        <v>112</v>
      </c>
      <c r="M121" s="24" t="n">
        <f aca="false">Q120</f>
        <v>140</v>
      </c>
      <c r="N121" s="24" t="str">
        <f aca="false">IF(M121&gt;=TotalStations,"Terminé",INDEX($A$10:$A$25,MATCH(SUMPRODUCT(($A$10:$A$25&lt;&gt;"")*($D$10:$D$25&lt;=M121))+1,$E$10:$E$25,0)))</f>
        <v>GiftWrap</v>
      </c>
      <c r="O121" s="24" t="n">
        <f aca="false">IF(M121&gt;=TotalStations,"",INDEX($C$10:$C$25,MATCH(SUMPRODUCT(($A$10:$A$25&lt;&gt;"")*($D$10:$D$25&lt;=M121))+1,$E$10:$E$25,0)))</f>
        <v>150</v>
      </c>
      <c r="P121" s="24" t="n">
        <f aca="false">IF(M121&gt;=TotalStations,0,MIN(FLOOR(420/O121,1),(TotalStations-M121)))</f>
        <v>2</v>
      </c>
      <c r="Q121" s="24" t="n">
        <f aca="false">M121+P121</f>
        <v>142</v>
      </c>
    </row>
    <row r="122" customFormat="false" ht="15" hidden="false" customHeight="true" outlineLevel="0" collapsed="false">
      <c r="A122" s="37" t="n">
        <f aca="false">WORKDAY(A121,1)</f>
        <v>46343</v>
      </c>
      <c r="B122" s="24" t="str">
        <f aca="false">IF(COUNTIF($B$5:$F$5,A122)&gt;0,"Dédié","Normal")</f>
        <v>Normal</v>
      </c>
      <c r="C122" s="24" t="n">
        <f aca="false">G121</f>
        <v>58</v>
      </c>
      <c r="D122" s="24" t="str">
        <f aca="false">IF(C122&gt;=TotalStations,"Terminé",INDEX($A$10:$A$25,MATCH(SUMPRODUCT(($A$10:$A$25&lt;&gt;"")*($D$10:$D$25&lt;=C122))+1,$E$10:$E$25,0)))</f>
        <v>PCNS 1</v>
      </c>
      <c r="E122" s="24" t="n">
        <f aca="false">IF(C122&gt;=TotalStations,"",INDEX($C$10:$C$25,MATCH(SUMPRODUCT(($A$10:$A$25&lt;&gt;"")*($D$10:$D$25&lt;=C122))+1,$E$10:$E$25,0)))</f>
        <v>150</v>
      </c>
      <c r="F122" s="24" t="n">
        <f aca="false">IF(C122&gt;=TotalStations,0,IF(B122="Dédié",MIN(FLOOR(420/E122,1),(TotalStations-C122)),MIN(1,(TotalStations-C122))))</f>
        <v>1</v>
      </c>
      <c r="G122" s="24" t="n">
        <f aca="false">C122+F122</f>
        <v>59</v>
      </c>
      <c r="H122" s="24" t="n">
        <f aca="false">L121</f>
        <v>112</v>
      </c>
      <c r="I122" s="24" t="str">
        <f aca="false">IF(H122&gt;=TotalStations,"Terminé",INDEX($A$10:$A$25,MATCH(SUMPRODUCT(($A$10:$A$25&lt;&gt;"")*($D$10:$D$25&lt;=H122))+1,$E$10:$E$25,0)))</f>
        <v>P2R</v>
      </c>
      <c r="J122" s="24" t="n">
        <f aca="false">IF(H122&gt;=TotalStations,"",INDEX($C$10:$C$25,MATCH(SUMPRODUCT(($A$10:$A$25&lt;&gt;"")*($D$10:$D$25&lt;=H122))+1,$E$10:$E$25,0)))</f>
        <v>90</v>
      </c>
      <c r="K122" s="24" t="n">
        <f aca="false">IF(H122&gt;=TotalStations,0,IF(B122="Dédié",MIN(FLOOR(420/J122,1),(TotalStations-H122)),MIN(2,(TotalStations-H122))))</f>
        <v>2</v>
      </c>
      <c r="L122" s="24" t="n">
        <f aca="false">H122+K122</f>
        <v>114</v>
      </c>
      <c r="M122" s="24" t="n">
        <f aca="false">Q121</f>
        <v>142</v>
      </c>
      <c r="N122" s="24" t="str">
        <f aca="false">IF(M122&gt;=TotalStations,"Terminé",INDEX($A$10:$A$25,MATCH(SUMPRODUCT(($A$10:$A$25&lt;&gt;"")*($D$10:$D$25&lt;=M122))+1,$E$10:$E$25,0)))</f>
        <v>GiftWrap</v>
      </c>
      <c r="O122" s="24" t="n">
        <f aca="false">IF(M122&gt;=TotalStations,"",INDEX($C$10:$C$25,MATCH(SUMPRODUCT(($A$10:$A$25&lt;&gt;"")*($D$10:$D$25&lt;=M122))+1,$E$10:$E$25,0)))</f>
        <v>150</v>
      </c>
      <c r="P122" s="24" t="n">
        <f aca="false">IF(M122&gt;=TotalStations,0,MIN(FLOOR(420/O122,1),(TotalStations-M122)))</f>
        <v>2</v>
      </c>
      <c r="Q122" s="24" t="n">
        <f aca="false">M122+P122</f>
        <v>144</v>
      </c>
    </row>
    <row r="123" customFormat="false" ht="15" hidden="false" customHeight="true" outlineLevel="0" collapsed="false">
      <c r="A123" s="37" t="n">
        <f aca="false">WORKDAY(A122,1)</f>
        <v>46344</v>
      </c>
      <c r="B123" s="24" t="str">
        <f aca="false">IF(COUNTIF($B$5:$F$5,A123)&gt;0,"Dédié","Normal")</f>
        <v>Normal</v>
      </c>
      <c r="C123" s="24" t="n">
        <f aca="false">G122</f>
        <v>59</v>
      </c>
      <c r="D123" s="24" t="str">
        <f aca="false">IF(C123&gt;=TotalStations,"Terminé",INDEX($A$10:$A$25,MATCH(SUMPRODUCT(($A$10:$A$25&lt;&gt;"")*($D$10:$D$25&lt;=C123))+1,$E$10:$E$25,0)))</f>
        <v>PCNS 1</v>
      </c>
      <c r="E123" s="24" t="n">
        <f aca="false">IF(C123&gt;=TotalStations,"",INDEX($C$10:$C$25,MATCH(SUMPRODUCT(($A$10:$A$25&lt;&gt;"")*($D$10:$D$25&lt;=C123))+1,$E$10:$E$25,0)))</f>
        <v>150</v>
      </c>
      <c r="F123" s="24" t="n">
        <f aca="false">IF(C123&gt;=TotalStations,0,IF(B123="Dédié",MIN(FLOOR(420/E123,1),(TotalStations-C123)),MIN(1,(TotalStations-C123))))</f>
        <v>1</v>
      </c>
      <c r="G123" s="24" t="n">
        <f aca="false">C123+F123</f>
        <v>60</v>
      </c>
      <c r="H123" s="24" t="n">
        <f aca="false">L122</f>
        <v>114</v>
      </c>
      <c r="I123" s="24" t="str">
        <f aca="false">IF(H123&gt;=TotalStations,"Terminé",INDEX($A$10:$A$25,MATCH(SUMPRODUCT(($A$10:$A$25&lt;&gt;"")*($D$10:$D$25&lt;=H123))+1,$E$10:$E$25,0)))</f>
        <v>P2R</v>
      </c>
      <c r="J123" s="24" t="n">
        <f aca="false">IF(H123&gt;=TotalStations,"",INDEX($C$10:$C$25,MATCH(SUMPRODUCT(($A$10:$A$25&lt;&gt;"")*($D$10:$D$25&lt;=H123))+1,$E$10:$E$25,0)))</f>
        <v>90</v>
      </c>
      <c r="K123" s="24" t="n">
        <f aca="false">IF(H123&gt;=TotalStations,0,IF(B123="Dédié",MIN(FLOOR(420/J123,1),(TotalStations-H123)),MIN(2,(TotalStations-H123))))</f>
        <v>2</v>
      </c>
      <c r="L123" s="24" t="n">
        <f aca="false">H123+K123</f>
        <v>116</v>
      </c>
      <c r="M123" s="24" t="n">
        <f aca="false">Q122</f>
        <v>144</v>
      </c>
      <c r="N123" s="24" t="str">
        <f aca="false">IF(M123&gt;=TotalStations,"Terminé",INDEX($A$10:$A$25,MATCH(SUMPRODUCT(($A$10:$A$25&lt;&gt;"")*($D$10:$D$25&lt;=M123))+1,$E$10:$E$25,0)))</f>
        <v>Problem Solve</v>
      </c>
      <c r="O123" s="24" t="n">
        <f aca="false">IF(M123&gt;=TotalStations,"",INDEX($C$10:$C$25,MATCH(SUMPRODUCT(($A$10:$A$25&lt;&gt;"")*($D$10:$D$25&lt;=M123))+1,$E$10:$E$25,0)))</f>
        <v>150</v>
      </c>
      <c r="P123" s="24" t="n">
        <f aca="false">IF(M123&gt;=TotalStations,0,MIN(FLOOR(420/O123,1),(TotalStations-M123)))</f>
        <v>2</v>
      </c>
      <c r="Q123" s="24" t="n">
        <f aca="false">M123+P123</f>
        <v>146</v>
      </c>
    </row>
    <row r="124" customFormat="false" ht="15" hidden="false" customHeight="true" outlineLevel="0" collapsed="false">
      <c r="A124" s="37" t="n">
        <f aca="false">WORKDAY(A123,1)</f>
        <v>46345</v>
      </c>
      <c r="B124" s="24" t="str">
        <f aca="false">IF(COUNTIF($B$5:$F$5,A124)&gt;0,"Dédié","Normal")</f>
        <v>Normal</v>
      </c>
      <c r="C124" s="24" t="n">
        <f aca="false">G123</f>
        <v>60</v>
      </c>
      <c r="D124" s="24" t="str">
        <f aca="false">IF(C124&gt;=TotalStations,"Terminé",INDEX($A$10:$A$25,MATCH(SUMPRODUCT(($A$10:$A$25&lt;&gt;"")*($D$10:$D$25&lt;=C124))+1,$E$10:$E$25,0)))</f>
        <v>PCNS 1</v>
      </c>
      <c r="E124" s="24" t="n">
        <f aca="false">IF(C124&gt;=TotalStations,"",INDEX($C$10:$C$25,MATCH(SUMPRODUCT(($A$10:$A$25&lt;&gt;"")*($D$10:$D$25&lt;=C124))+1,$E$10:$E$25,0)))</f>
        <v>150</v>
      </c>
      <c r="F124" s="24" t="n">
        <f aca="false">IF(C124&gt;=TotalStations,0,IF(B124="Dédié",MIN(FLOOR(420/E124,1),(TotalStations-C124)),MIN(1,(TotalStations-C124))))</f>
        <v>1</v>
      </c>
      <c r="G124" s="24" t="n">
        <f aca="false">C124+F124</f>
        <v>61</v>
      </c>
      <c r="H124" s="24" t="n">
        <f aca="false">L123</f>
        <v>116</v>
      </c>
      <c r="I124" s="24" t="str">
        <f aca="false">IF(H124&gt;=TotalStations,"Terminé",INDEX($A$10:$A$25,MATCH(SUMPRODUCT(($A$10:$A$25&lt;&gt;"")*($D$10:$D$25&lt;=H124))+1,$E$10:$E$25,0)))</f>
        <v>P2R</v>
      </c>
      <c r="J124" s="24" t="n">
        <f aca="false">IF(H124&gt;=TotalStations,"",INDEX($C$10:$C$25,MATCH(SUMPRODUCT(($A$10:$A$25&lt;&gt;"")*($D$10:$D$25&lt;=H124))+1,$E$10:$E$25,0)))</f>
        <v>90</v>
      </c>
      <c r="K124" s="24" t="n">
        <f aca="false">IF(H124&gt;=TotalStations,0,IF(B124="Dédié",MIN(FLOOR(420/J124,1),(TotalStations-H124)),MIN(2,(TotalStations-H124))))</f>
        <v>2</v>
      </c>
      <c r="L124" s="24" t="n">
        <f aca="false">H124+K124</f>
        <v>118</v>
      </c>
      <c r="M124" s="24" t="n">
        <f aca="false">Q123</f>
        <v>146</v>
      </c>
      <c r="N124" s="24" t="str">
        <f aca="false">IF(M124&gt;=TotalStations,"Terminé",INDEX($A$10:$A$25,MATCH(SUMPRODUCT(($A$10:$A$25&lt;&gt;"")*($D$10:$D$25&lt;=M124))+1,$E$10:$E$25,0)))</f>
        <v>Problem Solve</v>
      </c>
      <c r="O124" s="24" t="n">
        <f aca="false">IF(M124&gt;=TotalStations,"",INDEX($C$10:$C$25,MATCH(SUMPRODUCT(($A$10:$A$25&lt;&gt;"")*($D$10:$D$25&lt;=M124))+1,$E$10:$E$25,0)))</f>
        <v>150</v>
      </c>
      <c r="P124" s="24" t="n">
        <f aca="false">IF(M124&gt;=TotalStations,0,MIN(FLOOR(420/O124,1),(TotalStations-M124)))</f>
        <v>2</v>
      </c>
      <c r="Q124" s="24" t="n">
        <f aca="false">M124+P124</f>
        <v>148</v>
      </c>
    </row>
    <row r="125" customFormat="false" ht="15" hidden="false" customHeight="true" outlineLevel="0" collapsed="false">
      <c r="A125" s="37" t="n">
        <f aca="false">WORKDAY(A124,1)</f>
        <v>46346</v>
      </c>
      <c r="B125" s="24" t="str">
        <f aca="false">IF(COUNTIF($B$5:$F$5,A125)&gt;0,"Dédié","Normal")</f>
        <v>Normal</v>
      </c>
      <c r="C125" s="24" t="n">
        <f aca="false">G124</f>
        <v>61</v>
      </c>
      <c r="D125" s="24" t="str">
        <f aca="false">IF(C125&gt;=TotalStations,"Terminé",INDEX($A$10:$A$25,MATCH(SUMPRODUCT(($A$10:$A$25&lt;&gt;"")*($D$10:$D$25&lt;=C125))+1,$E$10:$E$25,0)))</f>
        <v>PCNS 2</v>
      </c>
      <c r="E125" s="24" t="n">
        <f aca="false">IF(C125&gt;=TotalStations,"",INDEX($C$10:$C$25,MATCH(SUMPRODUCT(($A$10:$A$25&lt;&gt;"")*($D$10:$D$25&lt;=C125))+1,$E$10:$E$25,0)))</f>
        <v>150</v>
      </c>
      <c r="F125" s="24" t="n">
        <f aca="false">IF(C125&gt;=TotalStations,0,IF(B125="Dédié",MIN(FLOOR(420/E125,1),(TotalStations-C125)),MIN(1,(TotalStations-C125))))</f>
        <v>1</v>
      </c>
      <c r="G125" s="24" t="n">
        <f aca="false">C125+F125</f>
        <v>62</v>
      </c>
      <c r="H125" s="24" t="n">
        <f aca="false">L124</f>
        <v>118</v>
      </c>
      <c r="I125" s="24" t="str">
        <f aca="false">IF(H125&gt;=TotalStations,"Terminé",INDEX($A$10:$A$25,MATCH(SUMPRODUCT(($A$10:$A$25&lt;&gt;"")*($D$10:$D$25&lt;=H125))+1,$E$10:$E$25,0)))</f>
        <v>P2R</v>
      </c>
      <c r="J125" s="24" t="n">
        <f aca="false">IF(H125&gt;=TotalStations,"",INDEX($C$10:$C$25,MATCH(SUMPRODUCT(($A$10:$A$25&lt;&gt;"")*($D$10:$D$25&lt;=H125))+1,$E$10:$E$25,0)))</f>
        <v>90</v>
      </c>
      <c r="K125" s="24" t="n">
        <f aca="false">IF(H125&gt;=TotalStations,0,IF(B125="Dédié",MIN(FLOOR(420/J125,1),(TotalStations-H125)),MIN(2,(TotalStations-H125))))</f>
        <v>2</v>
      </c>
      <c r="L125" s="24" t="n">
        <f aca="false">H125+K125</f>
        <v>120</v>
      </c>
      <c r="M125" s="24" t="n">
        <f aca="false">Q124</f>
        <v>148</v>
      </c>
      <c r="N125" s="24" t="str">
        <f aca="false">IF(M125&gt;=TotalStations,"Terminé",INDEX($A$10:$A$25,MATCH(SUMPRODUCT(($A$10:$A$25&lt;&gt;"")*($D$10:$D$25&lt;=M125))+1,$E$10:$E$25,0)))</f>
        <v>Shipping</v>
      </c>
      <c r="O125" s="24" t="n">
        <f aca="false">IF(M125&gt;=TotalStations,"",INDEX($C$10:$C$25,MATCH(SUMPRODUCT(($A$10:$A$25&lt;&gt;"")*($D$10:$D$25&lt;=M125))+1,$E$10:$E$25,0)))</f>
        <v>30</v>
      </c>
      <c r="P125" s="24" t="n">
        <f aca="false">IF(M125&gt;=TotalStations,0,MIN(FLOOR(420/O125,1),(TotalStations-M125)))</f>
        <v>14</v>
      </c>
      <c r="Q125" s="24" t="n">
        <f aca="false">M125+P125</f>
        <v>162</v>
      </c>
    </row>
    <row r="126" customFormat="false" ht="15" hidden="false" customHeight="true" outlineLevel="0" collapsed="false">
      <c r="A126" s="37" t="n">
        <f aca="false">WORKDAY(A125,1)</f>
        <v>46349</v>
      </c>
      <c r="B126" s="24" t="str">
        <f aca="false">IF(COUNTIF($B$5:$F$5,A126)&gt;0,"Dédié","Normal")</f>
        <v>Normal</v>
      </c>
      <c r="C126" s="24" t="n">
        <f aca="false">G125</f>
        <v>62</v>
      </c>
      <c r="D126" s="24" t="str">
        <f aca="false">IF(C126&gt;=TotalStations,"Terminé",INDEX($A$10:$A$25,MATCH(SUMPRODUCT(($A$10:$A$25&lt;&gt;"")*($D$10:$D$25&lt;=C126))+1,$E$10:$E$25,0)))</f>
        <v>PCNS 2</v>
      </c>
      <c r="E126" s="24" t="n">
        <f aca="false">IF(C126&gt;=TotalStations,"",INDEX($C$10:$C$25,MATCH(SUMPRODUCT(($A$10:$A$25&lt;&gt;"")*($D$10:$D$25&lt;=C126))+1,$E$10:$E$25,0)))</f>
        <v>150</v>
      </c>
      <c r="F126" s="24" t="n">
        <f aca="false">IF(C126&gt;=TotalStations,0,IF(B126="Dédié",MIN(FLOOR(420/E126,1),(TotalStations-C126)),MIN(1,(TotalStations-C126))))</f>
        <v>1</v>
      </c>
      <c r="G126" s="24" t="n">
        <f aca="false">C126+F126</f>
        <v>63</v>
      </c>
      <c r="H126" s="24" t="n">
        <f aca="false">L125</f>
        <v>120</v>
      </c>
      <c r="I126" s="24" t="str">
        <f aca="false">IF(H126&gt;=TotalStations,"Terminé",INDEX($A$10:$A$25,MATCH(SUMPRODUCT(($A$10:$A$25&lt;&gt;"")*($D$10:$D$25&lt;=H126))+1,$E$10:$E$25,0)))</f>
        <v>P2R</v>
      </c>
      <c r="J126" s="24" t="n">
        <f aca="false">IF(H126&gt;=TotalStations,"",INDEX($C$10:$C$25,MATCH(SUMPRODUCT(($A$10:$A$25&lt;&gt;"")*($D$10:$D$25&lt;=H126))+1,$E$10:$E$25,0)))</f>
        <v>90</v>
      </c>
      <c r="K126" s="24" t="n">
        <f aca="false">IF(H126&gt;=TotalStations,0,IF(B126="Dédié",MIN(FLOOR(420/J126,1),(TotalStations-H126)),MIN(2,(TotalStations-H126))))</f>
        <v>2</v>
      </c>
      <c r="L126" s="24" t="n">
        <f aca="false">H126+K126</f>
        <v>122</v>
      </c>
      <c r="M126" s="24" t="n">
        <f aca="false">Q125</f>
        <v>162</v>
      </c>
      <c r="N126" s="24" t="str">
        <f aca="false">IF(M126&gt;=TotalStations,"Terminé",INDEX($A$10:$A$25,MATCH(SUMPRODUCT(($A$10:$A$25&lt;&gt;"")*($D$10:$D$25&lt;=M126))+1,$E$10:$E$25,0)))</f>
        <v>XLI4 Receive 3</v>
      </c>
      <c r="O126" s="24" t="n">
        <f aca="false">IF(M126&gt;=TotalStations,"",INDEX($C$10:$C$25,MATCH(SUMPRODUCT(($A$10:$A$25&lt;&gt;"")*($D$10:$D$25&lt;=M126))+1,$E$10:$E$25,0)))</f>
        <v>30</v>
      </c>
      <c r="P126" s="24" t="n">
        <f aca="false">IF(M126&gt;=TotalStations,0,MIN(FLOOR(420/O126,1),(TotalStations-M126)))</f>
        <v>14</v>
      </c>
      <c r="Q126" s="24" t="n">
        <f aca="false">M126+P126</f>
        <v>176</v>
      </c>
    </row>
    <row r="127" customFormat="false" ht="15" hidden="false" customHeight="true" outlineLevel="0" collapsed="false">
      <c r="A127" s="37" t="n">
        <f aca="false">WORKDAY(A126,1)</f>
        <v>46350</v>
      </c>
      <c r="B127" s="24" t="str">
        <f aca="false">IF(COUNTIF($B$5:$F$5,A127)&gt;0,"Dédié","Normal")</f>
        <v>Normal</v>
      </c>
      <c r="C127" s="24" t="n">
        <f aca="false">G126</f>
        <v>63</v>
      </c>
      <c r="D127" s="24" t="str">
        <f aca="false">IF(C127&gt;=TotalStations,"Terminé",INDEX($A$10:$A$25,MATCH(SUMPRODUCT(($A$10:$A$25&lt;&gt;"")*($D$10:$D$25&lt;=C127))+1,$E$10:$E$25,0)))</f>
        <v>PCNS 2</v>
      </c>
      <c r="E127" s="24" t="n">
        <f aca="false">IF(C127&gt;=TotalStations,"",INDEX($C$10:$C$25,MATCH(SUMPRODUCT(($A$10:$A$25&lt;&gt;"")*($D$10:$D$25&lt;=C127))+1,$E$10:$E$25,0)))</f>
        <v>150</v>
      </c>
      <c r="F127" s="24" t="n">
        <f aca="false">IF(C127&gt;=TotalStations,0,IF(B127="Dédié",MIN(FLOOR(420/E127,1),(TotalStations-C127)),MIN(1,(TotalStations-C127))))</f>
        <v>1</v>
      </c>
      <c r="G127" s="24" t="n">
        <f aca="false">C127+F127</f>
        <v>64</v>
      </c>
      <c r="H127" s="24" t="n">
        <f aca="false">L126</f>
        <v>122</v>
      </c>
      <c r="I127" s="24" t="str">
        <f aca="false">IF(H127&gt;=TotalStations,"Terminé",INDEX($A$10:$A$25,MATCH(SUMPRODUCT(($A$10:$A$25&lt;&gt;"")*($D$10:$D$25&lt;=H127))+1,$E$10:$E$25,0)))</f>
        <v>P2R</v>
      </c>
      <c r="J127" s="24" t="n">
        <f aca="false">IF(H127&gt;=TotalStations,"",INDEX($C$10:$C$25,MATCH(SUMPRODUCT(($A$10:$A$25&lt;&gt;"")*($D$10:$D$25&lt;=H127))+1,$E$10:$E$25,0)))</f>
        <v>90</v>
      </c>
      <c r="K127" s="24" t="n">
        <f aca="false">IF(H127&gt;=TotalStations,0,IF(B127="Dédié",MIN(FLOOR(420/J127,1),(TotalStations-H127)),MIN(2,(TotalStations-H127))))</f>
        <v>2</v>
      </c>
      <c r="L127" s="24" t="n">
        <f aca="false">H127+K127</f>
        <v>124</v>
      </c>
      <c r="M127" s="24" t="n">
        <f aca="false">Q126</f>
        <v>176</v>
      </c>
      <c r="N127" s="24" t="str">
        <f aca="false">IF(M127&gt;=TotalStations,"Terminé",INDEX($A$10:$A$25,MATCH(SUMPRODUCT(($A$10:$A$25&lt;&gt;"")*($D$10:$D$25&lt;=M127))+1,$E$10:$E$25,0)))</f>
        <v>XLI4 Receive 1</v>
      </c>
      <c r="O127" s="24" t="n">
        <f aca="false">IF(M127&gt;=TotalStations,"",INDEX($C$10:$C$25,MATCH(SUMPRODUCT(($A$10:$A$25&lt;&gt;"")*($D$10:$D$25&lt;=M127))+1,$E$10:$E$25,0)))</f>
        <v>30</v>
      </c>
      <c r="P127" s="24" t="n">
        <f aca="false">IF(M127&gt;=TotalStations,0,MIN(FLOOR(420/O127,1),(TotalStations-M127)))</f>
        <v>14</v>
      </c>
      <c r="Q127" s="24" t="n">
        <f aca="false">M127+P127</f>
        <v>190</v>
      </c>
    </row>
    <row r="128" customFormat="false" ht="15" hidden="false" customHeight="true" outlineLevel="0" collapsed="false">
      <c r="A128" s="37" t="n">
        <f aca="false">WORKDAY(A127,1)</f>
        <v>46351</v>
      </c>
      <c r="B128" s="24" t="str">
        <f aca="false">IF(COUNTIF($B$5:$F$5,A128)&gt;0,"Dédié","Normal")</f>
        <v>Normal</v>
      </c>
      <c r="C128" s="24" t="n">
        <f aca="false">G127</f>
        <v>64</v>
      </c>
      <c r="D128" s="24" t="str">
        <f aca="false">IF(C128&gt;=TotalStations,"Terminé",INDEX($A$10:$A$25,MATCH(SUMPRODUCT(($A$10:$A$25&lt;&gt;"")*($D$10:$D$25&lt;=C128))+1,$E$10:$E$25,0)))</f>
        <v>PCNS 2</v>
      </c>
      <c r="E128" s="24" t="n">
        <f aca="false">IF(C128&gt;=TotalStations,"",INDEX($C$10:$C$25,MATCH(SUMPRODUCT(($A$10:$A$25&lt;&gt;"")*($D$10:$D$25&lt;=C128))+1,$E$10:$E$25,0)))</f>
        <v>150</v>
      </c>
      <c r="F128" s="24" t="n">
        <f aca="false">IF(C128&gt;=TotalStations,0,IF(B128="Dédié",MIN(FLOOR(420/E128,1),(TotalStations-C128)),MIN(1,(TotalStations-C128))))</f>
        <v>1</v>
      </c>
      <c r="G128" s="24" t="n">
        <f aca="false">C128+F128</f>
        <v>65</v>
      </c>
      <c r="H128" s="24" t="n">
        <f aca="false">L127</f>
        <v>124</v>
      </c>
      <c r="I128" s="24" t="str">
        <f aca="false">IF(H128&gt;=TotalStations,"Terminé",INDEX($A$10:$A$25,MATCH(SUMPRODUCT(($A$10:$A$25&lt;&gt;"")*($D$10:$D$25&lt;=H128))+1,$E$10:$E$25,0)))</f>
        <v>P2R</v>
      </c>
      <c r="J128" s="24" t="n">
        <f aca="false">IF(H128&gt;=TotalStations,"",INDEX($C$10:$C$25,MATCH(SUMPRODUCT(($A$10:$A$25&lt;&gt;"")*($D$10:$D$25&lt;=H128))+1,$E$10:$E$25,0)))</f>
        <v>90</v>
      </c>
      <c r="K128" s="24" t="n">
        <f aca="false">IF(H128&gt;=TotalStations,0,IF(B128="Dédié",MIN(FLOOR(420/J128,1),(TotalStations-H128)),MIN(2,(TotalStations-H128))))</f>
        <v>2</v>
      </c>
      <c r="L128" s="24" t="n">
        <f aca="false">H128+K128</f>
        <v>126</v>
      </c>
      <c r="M128" s="24" t="n">
        <f aca="false">Q127</f>
        <v>190</v>
      </c>
      <c r="N128" s="24" t="str">
        <f aca="false">IF(M128&gt;=TotalStations,"Terminé",INDEX($A$10:$A$25,MATCH(SUMPRODUCT(($A$10:$A$25&lt;&gt;"")*($D$10:$D$25&lt;=M128))+1,$E$10:$E$25,0)))</f>
        <v>XLI4 Sort 1</v>
      </c>
      <c r="O128" s="24" t="n">
        <f aca="false">IF(M128&gt;=TotalStations,"",INDEX($C$10:$C$25,MATCH(SUMPRODUCT(($A$10:$A$25&lt;&gt;"")*($D$10:$D$25&lt;=M128))+1,$E$10:$E$25,0)))</f>
        <v>30</v>
      </c>
      <c r="P128" s="24" t="n">
        <f aca="false">IF(M128&gt;=TotalStations,0,MIN(FLOOR(420/O128,1),(TotalStations-M128)))</f>
        <v>9</v>
      </c>
      <c r="Q128" s="24" t="n">
        <f aca="false">M128+P128</f>
        <v>199</v>
      </c>
    </row>
    <row r="129" customFormat="false" ht="15" hidden="false" customHeight="true" outlineLevel="0" collapsed="false">
      <c r="A129" s="37" t="n">
        <f aca="false">WORKDAY(A128,1)</f>
        <v>46352</v>
      </c>
      <c r="B129" s="24" t="str">
        <f aca="false">IF(COUNTIF($B$5:$F$5,A129)&gt;0,"Dédié","Normal")</f>
        <v>Normal</v>
      </c>
      <c r="C129" s="24" t="n">
        <f aca="false">G128</f>
        <v>65</v>
      </c>
      <c r="D129" s="24" t="str">
        <f aca="false">IF(C129&gt;=TotalStations,"Terminé",INDEX($A$10:$A$25,MATCH(SUMPRODUCT(($A$10:$A$25&lt;&gt;"")*($D$10:$D$25&lt;=C129))+1,$E$10:$E$25,0)))</f>
        <v>PCNS 2</v>
      </c>
      <c r="E129" s="24" t="n">
        <f aca="false">IF(C129&gt;=TotalStations,"",INDEX($C$10:$C$25,MATCH(SUMPRODUCT(($A$10:$A$25&lt;&gt;"")*($D$10:$D$25&lt;=C129))+1,$E$10:$E$25,0)))</f>
        <v>150</v>
      </c>
      <c r="F129" s="24" t="n">
        <f aca="false">IF(C129&gt;=TotalStations,0,IF(B129="Dédié",MIN(FLOOR(420/E129,1),(TotalStations-C129)),MIN(1,(TotalStations-C129))))</f>
        <v>1</v>
      </c>
      <c r="G129" s="24" t="n">
        <f aca="false">C129+F129</f>
        <v>66</v>
      </c>
      <c r="H129" s="24" t="n">
        <f aca="false">L128</f>
        <v>126</v>
      </c>
      <c r="I129" s="24" t="str">
        <f aca="false">IF(H129&gt;=TotalStations,"Terminé",INDEX($A$10:$A$25,MATCH(SUMPRODUCT(($A$10:$A$25&lt;&gt;"")*($D$10:$D$25&lt;=H129))+1,$E$10:$E$25,0)))</f>
        <v>P2R</v>
      </c>
      <c r="J129" s="24" t="n">
        <f aca="false">IF(H129&gt;=TotalStations,"",INDEX($C$10:$C$25,MATCH(SUMPRODUCT(($A$10:$A$25&lt;&gt;"")*($D$10:$D$25&lt;=H129))+1,$E$10:$E$25,0)))</f>
        <v>90</v>
      </c>
      <c r="K129" s="24" t="n">
        <f aca="false">IF(H129&gt;=TotalStations,0,IF(B129="Dédié",MIN(FLOOR(420/J129,1),(TotalStations-H129)),MIN(2,(TotalStations-H129))))</f>
        <v>2</v>
      </c>
      <c r="L129" s="24" t="n">
        <f aca="false">H129+K129</f>
        <v>128</v>
      </c>
      <c r="M129" s="24" t="n">
        <f aca="false">Q128</f>
        <v>199</v>
      </c>
      <c r="N129" s="24" t="str">
        <f aca="false">IF(M129&gt;=TotalStations,"Terminé",INDEX($A$10:$A$25,MATCH(SUMPRODUCT(($A$10:$A$25&lt;&gt;"")*($D$10:$D$25&lt;=M129))+1,$E$10:$E$25,0)))</f>
        <v>Terminé</v>
      </c>
      <c r="O129" s="24" t="str">
        <f aca="false">IF(M129&gt;=TotalStations,"",INDEX($C$10:$C$25,MATCH(SUMPRODUCT(($A$10:$A$25&lt;&gt;"")*($D$10:$D$25&lt;=M129))+1,$E$10:$E$25,0)))</f>
        <v/>
      </c>
      <c r="P129" s="24" t="n">
        <f aca="false">IF(M129&gt;=TotalStations,0,MIN(FLOOR(420/O129,1),(TotalStations-M129)))</f>
        <v>0</v>
      </c>
      <c r="Q129" s="24" t="n">
        <f aca="false">M129+P129</f>
        <v>199</v>
      </c>
    </row>
    <row r="130" customFormat="false" ht="15" hidden="false" customHeight="true" outlineLevel="0" collapsed="false">
      <c r="A130" s="37" t="n">
        <f aca="false">WORKDAY(A129,1)</f>
        <v>46353</v>
      </c>
      <c r="B130" s="24" t="str">
        <f aca="false">IF(COUNTIF($B$5:$F$5,A130)&gt;0,"Dédié","Normal")</f>
        <v>Normal</v>
      </c>
      <c r="C130" s="24" t="n">
        <f aca="false">G129</f>
        <v>66</v>
      </c>
      <c r="D130" s="24" t="str">
        <f aca="false">IF(C130&gt;=TotalStations,"Terminé",INDEX($A$10:$A$25,MATCH(SUMPRODUCT(($A$10:$A$25&lt;&gt;"")*($D$10:$D$25&lt;=C130))+1,$E$10:$E$25,0)))</f>
        <v>PCNS 2</v>
      </c>
      <c r="E130" s="24" t="n">
        <f aca="false">IF(C130&gt;=TotalStations,"",INDEX($C$10:$C$25,MATCH(SUMPRODUCT(($A$10:$A$25&lt;&gt;"")*($D$10:$D$25&lt;=C130))+1,$E$10:$E$25,0)))</f>
        <v>150</v>
      </c>
      <c r="F130" s="24" t="n">
        <f aca="false">IF(C130&gt;=TotalStations,0,IF(B130="Dédié",MIN(FLOOR(420/E130,1),(TotalStations-C130)),MIN(1,(TotalStations-C130))))</f>
        <v>1</v>
      </c>
      <c r="G130" s="24" t="n">
        <f aca="false">C130+F130</f>
        <v>67</v>
      </c>
      <c r="H130" s="24" t="n">
        <f aca="false">L129</f>
        <v>128</v>
      </c>
      <c r="I130" s="24" t="str">
        <f aca="false">IF(H130&gt;=TotalStations,"Terminé",INDEX($A$10:$A$25,MATCH(SUMPRODUCT(($A$10:$A$25&lt;&gt;"")*($D$10:$D$25&lt;=H130))+1,$E$10:$E$25,0)))</f>
        <v>P2R</v>
      </c>
      <c r="J130" s="24" t="n">
        <f aca="false">IF(H130&gt;=TotalStations,"",INDEX($C$10:$C$25,MATCH(SUMPRODUCT(($A$10:$A$25&lt;&gt;"")*($D$10:$D$25&lt;=H130))+1,$E$10:$E$25,0)))</f>
        <v>90</v>
      </c>
      <c r="K130" s="24" t="n">
        <f aca="false">IF(H130&gt;=TotalStations,0,IF(B130="Dédié",MIN(FLOOR(420/J130,1),(TotalStations-H130)),MIN(2,(TotalStations-H130))))</f>
        <v>2</v>
      </c>
      <c r="L130" s="24" t="n">
        <f aca="false">H130+K130</f>
        <v>130</v>
      </c>
      <c r="M130" s="24" t="n">
        <f aca="false">Q129</f>
        <v>199</v>
      </c>
      <c r="N130" s="24" t="str">
        <f aca="false">IF(M130&gt;=TotalStations,"Terminé",INDEX($A$10:$A$25,MATCH(SUMPRODUCT(($A$10:$A$25&lt;&gt;"")*($D$10:$D$25&lt;=M130))+1,$E$10:$E$25,0)))</f>
        <v>Terminé</v>
      </c>
      <c r="O130" s="24" t="str">
        <f aca="false">IF(M130&gt;=TotalStations,"",INDEX($C$10:$C$25,MATCH(SUMPRODUCT(($A$10:$A$25&lt;&gt;"")*($D$10:$D$25&lt;=M130))+1,$E$10:$E$25,0)))</f>
        <v/>
      </c>
      <c r="P130" s="24" t="n">
        <f aca="false">IF(M130&gt;=TotalStations,0,MIN(FLOOR(420/O130,1),(TotalStations-M130)))</f>
        <v>0</v>
      </c>
      <c r="Q130" s="24" t="n">
        <f aca="false">M130+P130</f>
        <v>199</v>
      </c>
    </row>
    <row r="131" customFormat="false" ht="15" hidden="false" customHeight="true" outlineLevel="0" collapsed="false">
      <c r="A131" s="37" t="n">
        <f aca="false">WORKDAY(A130,1)</f>
        <v>46356</v>
      </c>
      <c r="B131" s="24" t="str">
        <f aca="false">IF(COUNTIF($B$5:$F$5,A131)&gt;0,"Dédié","Normal")</f>
        <v>Normal</v>
      </c>
      <c r="C131" s="24" t="n">
        <f aca="false">G130</f>
        <v>67</v>
      </c>
      <c r="D131" s="24" t="str">
        <f aca="false">IF(C131&gt;=TotalStations,"Terminé",INDEX($A$10:$A$25,MATCH(SUMPRODUCT(($A$10:$A$25&lt;&gt;"")*($D$10:$D$25&lt;=C131))+1,$E$10:$E$25,0)))</f>
        <v>PCNS 2</v>
      </c>
      <c r="E131" s="24" t="n">
        <f aca="false">IF(C131&gt;=TotalStations,"",INDEX($C$10:$C$25,MATCH(SUMPRODUCT(($A$10:$A$25&lt;&gt;"")*($D$10:$D$25&lt;=C131))+1,$E$10:$E$25,0)))</f>
        <v>150</v>
      </c>
      <c r="F131" s="24" t="n">
        <f aca="false">IF(C131&gt;=TotalStations,0,IF(B131="Dédié",MIN(FLOOR(420/E131,1),(TotalStations-C131)),MIN(1,(TotalStations-C131))))</f>
        <v>1</v>
      </c>
      <c r="G131" s="24" t="n">
        <f aca="false">C131+F131</f>
        <v>68</v>
      </c>
      <c r="H131" s="24" t="n">
        <f aca="false">L130</f>
        <v>130</v>
      </c>
      <c r="I131" s="24" t="str">
        <f aca="false">IF(H131&gt;=TotalStations,"Terminé",INDEX($A$10:$A$25,MATCH(SUMPRODUCT(($A$10:$A$25&lt;&gt;"")*($D$10:$D$25&lt;=H131))+1,$E$10:$E$25,0)))</f>
        <v>P2R</v>
      </c>
      <c r="J131" s="24" t="n">
        <f aca="false">IF(H131&gt;=TotalStations,"",INDEX($C$10:$C$25,MATCH(SUMPRODUCT(($A$10:$A$25&lt;&gt;"")*($D$10:$D$25&lt;=H131))+1,$E$10:$E$25,0)))</f>
        <v>90</v>
      </c>
      <c r="K131" s="24" t="n">
        <f aca="false">IF(H131&gt;=TotalStations,0,IF(B131="Dédié",MIN(FLOOR(420/J131,1),(TotalStations-H131)),MIN(2,(TotalStations-H131))))</f>
        <v>2</v>
      </c>
      <c r="L131" s="24" t="n">
        <f aca="false">H131+K131</f>
        <v>132</v>
      </c>
      <c r="M131" s="24" t="n">
        <f aca="false">Q130</f>
        <v>199</v>
      </c>
      <c r="N131" s="24" t="str">
        <f aca="false">IF(M131&gt;=TotalStations,"Terminé",INDEX($A$10:$A$25,MATCH(SUMPRODUCT(($A$10:$A$25&lt;&gt;"")*($D$10:$D$25&lt;=M131))+1,$E$10:$E$25,0)))</f>
        <v>Terminé</v>
      </c>
      <c r="O131" s="24" t="str">
        <f aca="false">IF(M131&gt;=TotalStations,"",INDEX($C$10:$C$25,MATCH(SUMPRODUCT(($A$10:$A$25&lt;&gt;"")*($D$10:$D$25&lt;=M131))+1,$E$10:$E$25,0)))</f>
        <v/>
      </c>
      <c r="P131" s="24" t="n">
        <f aca="false">IF(M131&gt;=TotalStations,0,MIN(FLOOR(420/O131,1),(TotalStations-M131)))</f>
        <v>0</v>
      </c>
      <c r="Q131" s="24" t="n">
        <f aca="false">M131+P131</f>
        <v>199</v>
      </c>
    </row>
    <row r="132" customFormat="false" ht="15" hidden="false" customHeight="true" outlineLevel="0" collapsed="false">
      <c r="A132" s="37" t="n">
        <f aca="false">WORKDAY(A131,1)</f>
        <v>46357</v>
      </c>
      <c r="B132" s="24" t="str">
        <f aca="false">IF(COUNTIF($B$5:$F$5,A132)&gt;0,"Dédié","Normal")</f>
        <v>Normal</v>
      </c>
      <c r="C132" s="24" t="n">
        <f aca="false">G131</f>
        <v>68</v>
      </c>
      <c r="D132" s="24" t="str">
        <f aca="false">IF(C132&gt;=TotalStations,"Terminé",INDEX($A$10:$A$25,MATCH(SUMPRODUCT(($A$10:$A$25&lt;&gt;"")*($D$10:$D$25&lt;=C132))+1,$E$10:$E$25,0)))</f>
        <v>KO</v>
      </c>
      <c r="E132" s="24" t="n">
        <f aca="false">IF(C132&gt;=TotalStations,"",INDEX($C$10:$C$25,MATCH(SUMPRODUCT(($A$10:$A$25&lt;&gt;"")*($D$10:$D$25&lt;=C132))+1,$E$10:$E$25,0)))</f>
        <v>180</v>
      </c>
      <c r="F132" s="24" t="n">
        <f aca="false">IF(C132&gt;=TotalStations,0,IF(B132="Dédié",MIN(FLOOR(420/E132,1),(TotalStations-C132)),MIN(1,(TotalStations-C132))))</f>
        <v>1</v>
      </c>
      <c r="G132" s="24" t="n">
        <f aca="false">C132+F132</f>
        <v>69</v>
      </c>
      <c r="H132" s="24" t="n">
        <f aca="false">L131</f>
        <v>132</v>
      </c>
      <c r="I132" s="24" t="str">
        <f aca="false">IF(H132&gt;=TotalStations,"Terminé",INDEX($A$10:$A$25,MATCH(SUMPRODUCT(($A$10:$A$25&lt;&gt;"")*($D$10:$D$25&lt;=H132))+1,$E$10:$E$25,0)))</f>
        <v>Jackpot</v>
      </c>
      <c r="J132" s="24" t="n">
        <f aca="false">IF(H132&gt;=TotalStations,"",INDEX($C$10:$C$25,MATCH(SUMPRODUCT(($A$10:$A$25&lt;&gt;"")*($D$10:$D$25&lt;=H132))+1,$E$10:$E$25,0)))</f>
        <v>180</v>
      </c>
      <c r="K132" s="24" t="n">
        <f aca="false">IF(H132&gt;=TotalStations,0,IF(B132="Dédié",MIN(FLOOR(420/J132,1),(TotalStations-H132)),MIN(2,(TotalStations-H132))))</f>
        <v>2</v>
      </c>
      <c r="L132" s="24" t="n">
        <f aca="false">H132+K132</f>
        <v>134</v>
      </c>
      <c r="M132" s="24" t="n">
        <f aca="false">Q131</f>
        <v>199</v>
      </c>
      <c r="N132" s="24" t="str">
        <f aca="false">IF(M132&gt;=TotalStations,"Terminé",INDEX($A$10:$A$25,MATCH(SUMPRODUCT(($A$10:$A$25&lt;&gt;"")*($D$10:$D$25&lt;=M132))+1,$E$10:$E$25,0)))</f>
        <v>Terminé</v>
      </c>
      <c r="O132" s="24" t="str">
        <f aca="false">IF(M132&gt;=TotalStations,"",INDEX($C$10:$C$25,MATCH(SUMPRODUCT(($A$10:$A$25&lt;&gt;"")*($D$10:$D$25&lt;=M132))+1,$E$10:$E$25,0)))</f>
        <v/>
      </c>
      <c r="P132" s="24" t="n">
        <f aca="false">IF(M132&gt;=TotalStations,0,MIN(FLOOR(420/O132,1),(TotalStations-M132)))</f>
        <v>0</v>
      </c>
      <c r="Q132" s="24" t="n">
        <f aca="false">M132+P132</f>
        <v>199</v>
      </c>
    </row>
    <row r="133" customFormat="false" ht="15" hidden="false" customHeight="true" outlineLevel="0" collapsed="false">
      <c r="A133" s="37" t="n">
        <f aca="false">WORKDAY(A132,1)</f>
        <v>46358</v>
      </c>
      <c r="B133" s="24" t="str">
        <f aca="false">IF(COUNTIF($B$5:$F$5,A133)&gt;0,"Dédié","Normal")</f>
        <v>Normal</v>
      </c>
      <c r="C133" s="24" t="n">
        <f aca="false">G132</f>
        <v>69</v>
      </c>
      <c r="D133" s="24" t="str">
        <f aca="false">IF(C133&gt;=TotalStations,"Terminé",INDEX($A$10:$A$25,MATCH(SUMPRODUCT(($A$10:$A$25&lt;&gt;"")*($D$10:$D$25&lt;=C133))+1,$E$10:$E$25,0)))</f>
        <v>KO</v>
      </c>
      <c r="E133" s="24" t="n">
        <f aca="false">IF(C133&gt;=TotalStations,"",INDEX($C$10:$C$25,MATCH(SUMPRODUCT(($A$10:$A$25&lt;&gt;"")*($D$10:$D$25&lt;=C133))+1,$E$10:$E$25,0)))</f>
        <v>180</v>
      </c>
      <c r="F133" s="24" t="n">
        <f aca="false">IF(C133&gt;=TotalStations,0,IF(B133="Dédié",MIN(FLOOR(420/E133,1),(TotalStations-C133)),MIN(1,(TotalStations-C133))))</f>
        <v>1</v>
      </c>
      <c r="G133" s="24" t="n">
        <f aca="false">C133+F133</f>
        <v>70</v>
      </c>
      <c r="H133" s="24" t="n">
        <f aca="false">L132</f>
        <v>134</v>
      </c>
      <c r="I133" s="24" t="str">
        <f aca="false">IF(H133&gt;=TotalStations,"Terminé",INDEX($A$10:$A$25,MATCH(SUMPRODUCT(($A$10:$A$25&lt;&gt;"")*($D$10:$D$25&lt;=H133))+1,$E$10:$E$25,0)))</f>
        <v>VRET</v>
      </c>
      <c r="J133" s="24" t="n">
        <f aca="false">IF(H133&gt;=TotalStations,"",INDEX($C$10:$C$25,MATCH(SUMPRODUCT(($A$10:$A$25&lt;&gt;"")*($D$10:$D$25&lt;=H133))+1,$E$10:$E$25,0)))</f>
        <v>150</v>
      </c>
      <c r="K133" s="24" t="n">
        <f aca="false">IF(H133&gt;=TotalStations,0,IF(B133="Dédié",MIN(FLOOR(420/J133,1),(TotalStations-H133)),MIN(2,(TotalStations-H133))))</f>
        <v>2</v>
      </c>
      <c r="L133" s="24" t="n">
        <f aca="false">H133+K133</f>
        <v>136</v>
      </c>
      <c r="M133" s="24" t="n">
        <f aca="false">Q132</f>
        <v>199</v>
      </c>
      <c r="N133" s="24" t="str">
        <f aca="false">IF(M133&gt;=TotalStations,"Terminé",INDEX($A$10:$A$25,MATCH(SUMPRODUCT(($A$10:$A$25&lt;&gt;"")*($D$10:$D$25&lt;=M133))+1,$E$10:$E$25,0)))</f>
        <v>Terminé</v>
      </c>
      <c r="O133" s="24" t="str">
        <f aca="false">IF(M133&gt;=TotalStations,"",INDEX($C$10:$C$25,MATCH(SUMPRODUCT(($A$10:$A$25&lt;&gt;"")*($D$10:$D$25&lt;=M133))+1,$E$10:$E$25,0)))</f>
        <v/>
      </c>
      <c r="P133" s="24" t="n">
        <f aca="false">IF(M133&gt;=TotalStations,0,MIN(FLOOR(420/O133,1),(TotalStations-M133)))</f>
        <v>0</v>
      </c>
      <c r="Q133" s="24" t="n">
        <f aca="false">M133+P133</f>
        <v>199</v>
      </c>
    </row>
    <row r="134" customFormat="false" ht="15" hidden="false" customHeight="true" outlineLevel="0" collapsed="false">
      <c r="A134" s="37" t="n">
        <f aca="false">WORKDAY(A133,1)</f>
        <v>46359</v>
      </c>
      <c r="B134" s="24" t="str">
        <f aca="false">IF(COUNTIF($B$5:$F$5,A134)&gt;0,"Dédié","Normal")</f>
        <v>Normal</v>
      </c>
      <c r="C134" s="24" t="n">
        <f aca="false">G133</f>
        <v>70</v>
      </c>
      <c r="D134" s="24" t="str">
        <f aca="false">IF(C134&gt;=TotalStations,"Terminé",INDEX($A$10:$A$25,MATCH(SUMPRODUCT(($A$10:$A$25&lt;&gt;"")*($D$10:$D$25&lt;=C134))+1,$E$10:$E$25,0)))</f>
        <v>KO</v>
      </c>
      <c r="E134" s="24" t="n">
        <f aca="false">IF(C134&gt;=TotalStations,"",INDEX($C$10:$C$25,MATCH(SUMPRODUCT(($A$10:$A$25&lt;&gt;"")*($D$10:$D$25&lt;=C134))+1,$E$10:$E$25,0)))</f>
        <v>180</v>
      </c>
      <c r="F134" s="24" t="n">
        <f aca="false">IF(C134&gt;=TotalStations,0,IF(B134="Dédié",MIN(FLOOR(420/E134,1),(TotalStations-C134)),MIN(1,(TotalStations-C134))))</f>
        <v>1</v>
      </c>
      <c r="G134" s="24" t="n">
        <f aca="false">C134+F134</f>
        <v>71</v>
      </c>
      <c r="H134" s="24" t="n">
        <f aca="false">L133</f>
        <v>136</v>
      </c>
      <c r="I134" s="24" t="str">
        <f aca="false">IF(H134&gt;=TotalStations,"Terminé",INDEX($A$10:$A$25,MATCH(SUMPRODUCT(($A$10:$A$25&lt;&gt;"")*($D$10:$D$25&lt;=H134))+1,$E$10:$E$25,0)))</f>
        <v>VRET</v>
      </c>
      <c r="J134" s="24" t="n">
        <f aca="false">IF(H134&gt;=TotalStations,"",INDEX($C$10:$C$25,MATCH(SUMPRODUCT(($A$10:$A$25&lt;&gt;"")*($D$10:$D$25&lt;=H134))+1,$E$10:$E$25,0)))</f>
        <v>150</v>
      </c>
      <c r="K134" s="24" t="n">
        <f aca="false">IF(H134&gt;=TotalStations,0,IF(B134="Dédié",MIN(FLOOR(420/J134,1),(TotalStations-H134)),MIN(2,(TotalStations-H134))))</f>
        <v>2</v>
      </c>
      <c r="L134" s="24" t="n">
        <f aca="false">H134+K134</f>
        <v>138</v>
      </c>
      <c r="M134" s="24" t="n">
        <f aca="false">Q133</f>
        <v>199</v>
      </c>
      <c r="N134" s="24" t="str">
        <f aca="false">IF(M134&gt;=TotalStations,"Terminé",INDEX($A$10:$A$25,MATCH(SUMPRODUCT(($A$10:$A$25&lt;&gt;"")*($D$10:$D$25&lt;=M134))+1,$E$10:$E$25,0)))</f>
        <v>Terminé</v>
      </c>
      <c r="O134" s="24" t="str">
        <f aca="false">IF(M134&gt;=TotalStations,"",INDEX($C$10:$C$25,MATCH(SUMPRODUCT(($A$10:$A$25&lt;&gt;"")*($D$10:$D$25&lt;=M134))+1,$E$10:$E$25,0)))</f>
        <v/>
      </c>
      <c r="P134" s="24" t="n">
        <f aca="false">IF(M134&gt;=TotalStations,0,MIN(FLOOR(420/O134,1),(TotalStations-M134)))</f>
        <v>0</v>
      </c>
      <c r="Q134" s="24" t="n">
        <f aca="false">M134+P134</f>
        <v>199</v>
      </c>
    </row>
    <row r="135" customFormat="false" ht="15" hidden="false" customHeight="true" outlineLevel="0" collapsed="false">
      <c r="A135" s="37" t="n">
        <f aca="false">WORKDAY(A134,1)</f>
        <v>46360</v>
      </c>
      <c r="B135" s="24" t="str">
        <f aca="false">IF(COUNTIF($B$5:$F$5,A135)&gt;0,"Dédié","Normal")</f>
        <v>Normal</v>
      </c>
      <c r="C135" s="24" t="n">
        <f aca="false">G134</f>
        <v>71</v>
      </c>
      <c r="D135" s="24" t="str">
        <f aca="false">IF(C135&gt;=TotalStations,"Terminé",INDEX($A$10:$A$25,MATCH(SUMPRODUCT(($A$10:$A$25&lt;&gt;"")*($D$10:$D$25&lt;=C135))+1,$E$10:$E$25,0)))</f>
        <v>KO</v>
      </c>
      <c r="E135" s="24" t="n">
        <f aca="false">IF(C135&gt;=TotalStations,"",INDEX($C$10:$C$25,MATCH(SUMPRODUCT(($A$10:$A$25&lt;&gt;"")*($D$10:$D$25&lt;=C135))+1,$E$10:$E$25,0)))</f>
        <v>180</v>
      </c>
      <c r="F135" s="24" t="n">
        <f aca="false">IF(C135&gt;=TotalStations,0,IF(B135="Dédié",MIN(FLOOR(420/E135,1),(TotalStations-C135)),MIN(1,(TotalStations-C135))))</f>
        <v>1</v>
      </c>
      <c r="G135" s="24" t="n">
        <f aca="false">C135+F135</f>
        <v>72</v>
      </c>
      <c r="H135" s="24" t="n">
        <f aca="false">L134</f>
        <v>138</v>
      </c>
      <c r="I135" s="24" t="str">
        <f aca="false">IF(H135&gt;=TotalStations,"Terminé",INDEX($A$10:$A$25,MATCH(SUMPRODUCT(($A$10:$A$25&lt;&gt;"")*($D$10:$D$25&lt;=H135))+1,$E$10:$E$25,0)))</f>
        <v>GiftWrap</v>
      </c>
      <c r="J135" s="24" t="n">
        <f aca="false">IF(H135&gt;=TotalStations,"",INDEX($C$10:$C$25,MATCH(SUMPRODUCT(($A$10:$A$25&lt;&gt;"")*($D$10:$D$25&lt;=H135))+1,$E$10:$E$25,0)))</f>
        <v>150</v>
      </c>
      <c r="K135" s="24" t="n">
        <f aca="false">IF(H135&gt;=TotalStations,0,IF(B135="Dédié",MIN(FLOOR(420/J135,1),(TotalStations-H135)),MIN(2,(TotalStations-H135))))</f>
        <v>2</v>
      </c>
      <c r="L135" s="24" t="n">
        <f aca="false">H135+K135</f>
        <v>140</v>
      </c>
      <c r="M135" s="24" t="n">
        <f aca="false">Q134</f>
        <v>199</v>
      </c>
      <c r="N135" s="24" t="str">
        <f aca="false">IF(M135&gt;=TotalStations,"Terminé",INDEX($A$10:$A$25,MATCH(SUMPRODUCT(($A$10:$A$25&lt;&gt;"")*($D$10:$D$25&lt;=M135))+1,$E$10:$E$25,0)))</f>
        <v>Terminé</v>
      </c>
      <c r="O135" s="24" t="str">
        <f aca="false">IF(M135&gt;=TotalStations,"",INDEX($C$10:$C$25,MATCH(SUMPRODUCT(($A$10:$A$25&lt;&gt;"")*($D$10:$D$25&lt;=M135))+1,$E$10:$E$25,0)))</f>
        <v/>
      </c>
      <c r="P135" s="24" t="n">
        <f aca="false">IF(M135&gt;=TotalStations,0,MIN(FLOOR(420/O135,1),(TotalStations-M135)))</f>
        <v>0</v>
      </c>
      <c r="Q135" s="24" t="n">
        <f aca="false">M135+P135</f>
        <v>199</v>
      </c>
    </row>
    <row r="136" customFormat="false" ht="15" hidden="false" customHeight="true" outlineLevel="0" collapsed="false">
      <c r="A136" s="37" t="n">
        <f aca="false">WORKDAY(A135,1)</f>
        <v>46363</v>
      </c>
      <c r="B136" s="24" t="str">
        <f aca="false">IF(COUNTIF($B$5:$F$5,A136)&gt;0,"Dédié","Normal")</f>
        <v>Normal</v>
      </c>
      <c r="C136" s="24" t="n">
        <f aca="false">G135</f>
        <v>72</v>
      </c>
      <c r="D136" s="24" t="str">
        <f aca="false">IF(C136&gt;=TotalStations,"Terminé",INDEX($A$10:$A$25,MATCH(SUMPRODUCT(($A$10:$A$25&lt;&gt;"")*($D$10:$D$25&lt;=C136))+1,$E$10:$E$25,0)))</f>
        <v>P2R</v>
      </c>
      <c r="E136" s="24" t="n">
        <f aca="false">IF(C136&gt;=TotalStations,"",INDEX($C$10:$C$25,MATCH(SUMPRODUCT(($A$10:$A$25&lt;&gt;"")*($D$10:$D$25&lt;=C136))+1,$E$10:$E$25,0)))</f>
        <v>90</v>
      </c>
      <c r="F136" s="24" t="n">
        <f aca="false">IF(C136&gt;=TotalStations,0,IF(B136="Dédié",MIN(FLOOR(420/E136,1),(TotalStations-C136)),MIN(1,(TotalStations-C136))))</f>
        <v>1</v>
      </c>
      <c r="G136" s="24" t="n">
        <f aca="false">C136+F136</f>
        <v>73</v>
      </c>
      <c r="H136" s="24" t="n">
        <f aca="false">L135</f>
        <v>140</v>
      </c>
      <c r="I136" s="24" t="str">
        <f aca="false">IF(H136&gt;=TotalStations,"Terminé",INDEX($A$10:$A$25,MATCH(SUMPRODUCT(($A$10:$A$25&lt;&gt;"")*($D$10:$D$25&lt;=H136))+1,$E$10:$E$25,0)))</f>
        <v>GiftWrap</v>
      </c>
      <c r="J136" s="24" t="n">
        <f aca="false">IF(H136&gt;=TotalStations,"",INDEX($C$10:$C$25,MATCH(SUMPRODUCT(($A$10:$A$25&lt;&gt;"")*($D$10:$D$25&lt;=H136))+1,$E$10:$E$25,0)))</f>
        <v>150</v>
      </c>
      <c r="K136" s="24" t="n">
        <f aca="false">IF(H136&gt;=TotalStations,0,IF(B136="Dédié",MIN(FLOOR(420/J136,1),(TotalStations-H136)),MIN(2,(TotalStations-H136))))</f>
        <v>2</v>
      </c>
      <c r="L136" s="24" t="n">
        <f aca="false">H136+K136</f>
        <v>142</v>
      </c>
      <c r="M136" s="24" t="n">
        <f aca="false">Q135</f>
        <v>199</v>
      </c>
      <c r="N136" s="24" t="str">
        <f aca="false">IF(M136&gt;=TotalStations,"Terminé",INDEX($A$10:$A$25,MATCH(SUMPRODUCT(($A$10:$A$25&lt;&gt;"")*($D$10:$D$25&lt;=M136))+1,$E$10:$E$25,0)))</f>
        <v>Terminé</v>
      </c>
      <c r="O136" s="24" t="str">
        <f aca="false">IF(M136&gt;=TotalStations,"",INDEX($C$10:$C$25,MATCH(SUMPRODUCT(($A$10:$A$25&lt;&gt;"")*($D$10:$D$25&lt;=M136))+1,$E$10:$E$25,0)))</f>
        <v/>
      </c>
      <c r="P136" s="24" t="n">
        <f aca="false">IF(M136&gt;=TotalStations,0,MIN(FLOOR(420/O136,1),(TotalStations-M136)))</f>
        <v>0</v>
      </c>
      <c r="Q136" s="24" t="n">
        <f aca="false">M136+P136</f>
        <v>199</v>
      </c>
    </row>
    <row r="137" customFormat="false" ht="15" hidden="false" customHeight="true" outlineLevel="0" collapsed="false">
      <c r="A137" s="37" t="n">
        <f aca="false">WORKDAY(A136,1)</f>
        <v>46364</v>
      </c>
      <c r="B137" s="24" t="str">
        <f aca="false">IF(COUNTIF($B$5:$F$5,A137)&gt;0,"Dédié","Normal")</f>
        <v>Normal</v>
      </c>
      <c r="C137" s="24" t="n">
        <f aca="false">G136</f>
        <v>73</v>
      </c>
      <c r="D137" s="24" t="str">
        <f aca="false">IF(C137&gt;=TotalStations,"Terminé",INDEX($A$10:$A$25,MATCH(SUMPRODUCT(($A$10:$A$25&lt;&gt;"")*($D$10:$D$25&lt;=C137))+1,$E$10:$E$25,0)))</f>
        <v>P2R</v>
      </c>
      <c r="E137" s="24" t="n">
        <f aca="false">IF(C137&gt;=TotalStations,"",INDEX($C$10:$C$25,MATCH(SUMPRODUCT(($A$10:$A$25&lt;&gt;"")*($D$10:$D$25&lt;=C137))+1,$E$10:$E$25,0)))</f>
        <v>90</v>
      </c>
      <c r="F137" s="24" t="n">
        <f aca="false">IF(C137&gt;=TotalStations,0,IF(B137="Dédié",MIN(FLOOR(420/E137,1),(TotalStations-C137)),MIN(1,(TotalStations-C137))))</f>
        <v>1</v>
      </c>
      <c r="G137" s="24" t="n">
        <f aca="false">C137+F137</f>
        <v>74</v>
      </c>
      <c r="H137" s="24" t="n">
        <f aca="false">L136</f>
        <v>142</v>
      </c>
      <c r="I137" s="24" t="str">
        <f aca="false">IF(H137&gt;=TotalStations,"Terminé",INDEX($A$10:$A$25,MATCH(SUMPRODUCT(($A$10:$A$25&lt;&gt;"")*($D$10:$D$25&lt;=H137))+1,$E$10:$E$25,0)))</f>
        <v>GiftWrap</v>
      </c>
      <c r="J137" s="24" t="n">
        <f aca="false">IF(H137&gt;=TotalStations,"",INDEX($C$10:$C$25,MATCH(SUMPRODUCT(($A$10:$A$25&lt;&gt;"")*($D$10:$D$25&lt;=H137))+1,$E$10:$E$25,0)))</f>
        <v>150</v>
      </c>
      <c r="K137" s="24" t="n">
        <f aca="false">IF(H137&gt;=TotalStations,0,IF(B137="Dédié",MIN(FLOOR(420/J137,1),(TotalStations-H137)),MIN(2,(TotalStations-H137))))</f>
        <v>2</v>
      </c>
      <c r="L137" s="24" t="n">
        <f aca="false">H137+K137</f>
        <v>144</v>
      </c>
      <c r="M137" s="24" t="n">
        <f aca="false">Q136</f>
        <v>199</v>
      </c>
      <c r="N137" s="24" t="str">
        <f aca="false">IF(M137&gt;=TotalStations,"Terminé",INDEX($A$10:$A$25,MATCH(SUMPRODUCT(($A$10:$A$25&lt;&gt;"")*($D$10:$D$25&lt;=M137))+1,$E$10:$E$25,0)))</f>
        <v>Terminé</v>
      </c>
      <c r="O137" s="24" t="str">
        <f aca="false">IF(M137&gt;=TotalStations,"",INDEX($C$10:$C$25,MATCH(SUMPRODUCT(($A$10:$A$25&lt;&gt;"")*($D$10:$D$25&lt;=M137))+1,$E$10:$E$25,0)))</f>
        <v/>
      </c>
      <c r="P137" s="24" t="n">
        <f aca="false">IF(M137&gt;=TotalStations,0,MIN(FLOOR(420/O137,1),(TotalStations-M137)))</f>
        <v>0</v>
      </c>
      <c r="Q137" s="24" t="n">
        <f aca="false">M137+P137</f>
        <v>199</v>
      </c>
    </row>
    <row r="138" customFormat="false" ht="15" hidden="false" customHeight="true" outlineLevel="0" collapsed="false">
      <c r="A138" s="37" t="n">
        <f aca="false">WORKDAY(A137,1)</f>
        <v>46365</v>
      </c>
      <c r="B138" s="24" t="str">
        <f aca="false">IF(COUNTIF($B$5:$F$5,A138)&gt;0,"Dédié","Normal")</f>
        <v>Normal</v>
      </c>
      <c r="C138" s="24" t="n">
        <f aca="false">G137</f>
        <v>74</v>
      </c>
      <c r="D138" s="24" t="str">
        <f aca="false">IF(C138&gt;=TotalStations,"Terminé",INDEX($A$10:$A$25,MATCH(SUMPRODUCT(($A$10:$A$25&lt;&gt;"")*($D$10:$D$25&lt;=C138))+1,$E$10:$E$25,0)))</f>
        <v>P2R</v>
      </c>
      <c r="E138" s="24" t="n">
        <f aca="false">IF(C138&gt;=TotalStations,"",INDEX($C$10:$C$25,MATCH(SUMPRODUCT(($A$10:$A$25&lt;&gt;"")*($D$10:$D$25&lt;=C138))+1,$E$10:$E$25,0)))</f>
        <v>90</v>
      </c>
      <c r="F138" s="24" t="n">
        <f aca="false">IF(C138&gt;=TotalStations,0,IF(B138="Dédié",MIN(FLOOR(420/E138,1),(TotalStations-C138)),MIN(1,(TotalStations-C138))))</f>
        <v>1</v>
      </c>
      <c r="G138" s="24" t="n">
        <f aca="false">C138+F138</f>
        <v>75</v>
      </c>
      <c r="H138" s="24" t="n">
        <f aca="false">L137</f>
        <v>144</v>
      </c>
      <c r="I138" s="24" t="str">
        <f aca="false">IF(H138&gt;=TotalStations,"Terminé",INDEX($A$10:$A$25,MATCH(SUMPRODUCT(($A$10:$A$25&lt;&gt;"")*($D$10:$D$25&lt;=H138))+1,$E$10:$E$25,0)))</f>
        <v>Problem Solve</v>
      </c>
      <c r="J138" s="24" t="n">
        <f aca="false">IF(H138&gt;=TotalStations,"",INDEX($C$10:$C$25,MATCH(SUMPRODUCT(($A$10:$A$25&lt;&gt;"")*($D$10:$D$25&lt;=H138))+1,$E$10:$E$25,0)))</f>
        <v>150</v>
      </c>
      <c r="K138" s="24" t="n">
        <f aca="false">IF(H138&gt;=TotalStations,0,IF(B138="Dédié",MIN(FLOOR(420/J138,1),(TotalStations-H138)),MIN(2,(TotalStations-H138))))</f>
        <v>2</v>
      </c>
      <c r="L138" s="24" t="n">
        <f aca="false">H138+K138</f>
        <v>146</v>
      </c>
      <c r="M138" s="24" t="n">
        <f aca="false">Q137</f>
        <v>199</v>
      </c>
      <c r="N138" s="24" t="str">
        <f aca="false">IF(M138&gt;=TotalStations,"Terminé",INDEX($A$10:$A$25,MATCH(SUMPRODUCT(($A$10:$A$25&lt;&gt;"")*($D$10:$D$25&lt;=M138))+1,$E$10:$E$25,0)))</f>
        <v>Terminé</v>
      </c>
      <c r="O138" s="24" t="str">
        <f aca="false">IF(M138&gt;=TotalStations,"",INDEX($C$10:$C$25,MATCH(SUMPRODUCT(($A$10:$A$25&lt;&gt;"")*($D$10:$D$25&lt;=M138))+1,$E$10:$E$25,0)))</f>
        <v/>
      </c>
      <c r="P138" s="24" t="n">
        <f aca="false">IF(M138&gt;=TotalStations,0,MIN(FLOOR(420/O138,1),(TotalStations-M138)))</f>
        <v>0</v>
      </c>
      <c r="Q138" s="24" t="n">
        <f aca="false">M138+P138</f>
        <v>199</v>
      </c>
    </row>
    <row r="139" customFormat="false" ht="15" hidden="false" customHeight="true" outlineLevel="0" collapsed="false">
      <c r="A139" s="37" t="n">
        <f aca="false">WORKDAY(A138,1)</f>
        <v>46366</v>
      </c>
      <c r="B139" s="24" t="str">
        <f aca="false">IF(COUNTIF($B$5:$F$5,A139)&gt;0,"Dédié","Normal")</f>
        <v>Normal</v>
      </c>
      <c r="C139" s="24" t="n">
        <f aca="false">G138</f>
        <v>75</v>
      </c>
      <c r="D139" s="24" t="str">
        <f aca="false">IF(C139&gt;=TotalStations,"Terminé",INDEX($A$10:$A$25,MATCH(SUMPRODUCT(($A$10:$A$25&lt;&gt;"")*($D$10:$D$25&lt;=C139))+1,$E$10:$E$25,0)))</f>
        <v>P2R</v>
      </c>
      <c r="E139" s="24" t="n">
        <f aca="false">IF(C139&gt;=TotalStations,"",INDEX($C$10:$C$25,MATCH(SUMPRODUCT(($A$10:$A$25&lt;&gt;"")*($D$10:$D$25&lt;=C139))+1,$E$10:$E$25,0)))</f>
        <v>90</v>
      </c>
      <c r="F139" s="24" t="n">
        <f aca="false">IF(C139&gt;=TotalStations,0,IF(B139="Dédié",MIN(FLOOR(420/E139,1),(TotalStations-C139)),MIN(1,(TotalStations-C139))))</f>
        <v>1</v>
      </c>
      <c r="G139" s="24" t="n">
        <f aca="false">C139+F139</f>
        <v>76</v>
      </c>
      <c r="H139" s="24" t="n">
        <f aca="false">L138</f>
        <v>146</v>
      </c>
      <c r="I139" s="24" t="str">
        <f aca="false">IF(H139&gt;=TotalStations,"Terminé",INDEX($A$10:$A$25,MATCH(SUMPRODUCT(($A$10:$A$25&lt;&gt;"")*($D$10:$D$25&lt;=H139))+1,$E$10:$E$25,0)))</f>
        <v>Problem Solve</v>
      </c>
      <c r="J139" s="24" t="n">
        <f aca="false">IF(H139&gt;=TotalStations,"",INDEX($C$10:$C$25,MATCH(SUMPRODUCT(($A$10:$A$25&lt;&gt;"")*($D$10:$D$25&lt;=H139))+1,$E$10:$E$25,0)))</f>
        <v>150</v>
      </c>
      <c r="K139" s="24" t="n">
        <f aca="false">IF(H139&gt;=TotalStations,0,IF(B139="Dédié",MIN(FLOOR(420/J139,1),(TotalStations-H139)),MIN(2,(TotalStations-H139))))</f>
        <v>2</v>
      </c>
      <c r="L139" s="24" t="n">
        <f aca="false">H139+K139</f>
        <v>148</v>
      </c>
      <c r="M139" s="24" t="n">
        <f aca="false">Q138</f>
        <v>199</v>
      </c>
      <c r="N139" s="24" t="str">
        <f aca="false">IF(M139&gt;=TotalStations,"Terminé",INDEX($A$10:$A$25,MATCH(SUMPRODUCT(($A$10:$A$25&lt;&gt;"")*($D$10:$D$25&lt;=M139))+1,$E$10:$E$25,0)))</f>
        <v>Terminé</v>
      </c>
      <c r="O139" s="24" t="str">
        <f aca="false">IF(M139&gt;=TotalStations,"",INDEX($C$10:$C$25,MATCH(SUMPRODUCT(($A$10:$A$25&lt;&gt;"")*($D$10:$D$25&lt;=M139))+1,$E$10:$E$25,0)))</f>
        <v/>
      </c>
      <c r="P139" s="24" t="n">
        <f aca="false">IF(M139&gt;=TotalStations,0,MIN(FLOOR(420/O139,1),(TotalStations-M139)))</f>
        <v>0</v>
      </c>
      <c r="Q139" s="24" t="n">
        <f aca="false">M139+P139</f>
        <v>199</v>
      </c>
    </row>
    <row r="140" customFormat="false" ht="15" hidden="false" customHeight="true" outlineLevel="0" collapsed="false">
      <c r="A140" s="37" t="n">
        <f aca="false">WORKDAY(A139,1)</f>
        <v>46367</v>
      </c>
      <c r="B140" s="24" t="str">
        <f aca="false">IF(COUNTIF($B$5:$F$5,A140)&gt;0,"Dédié","Normal")</f>
        <v>Normal</v>
      </c>
      <c r="C140" s="24" t="n">
        <f aca="false">G139</f>
        <v>76</v>
      </c>
      <c r="D140" s="24" t="str">
        <f aca="false">IF(C140&gt;=TotalStations,"Terminé",INDEX($A$10:$A$25,MATCH(SUMPRODUCT(($A$10:$A$25&lt;&gt;"")*($D$10:$D$25&lt;=C140))+1,$E$10:$E$25,0)))</f>
        <v>P2R</v>
      </c>
      <c r="E140" s="24" t="n">
        <f aca="false">IF(C140&gt;=TotalStations,"",INDEX($C$10:$C$25,MATCH(SUMPRODUCT(($A$10:$A$25&lt;&gt;"")*($D$10:$D$25&lt;=C140))+1,$E$10:$E$25,0)))</f>
        <v>90</v>
      </c>
      <c r="F140" s="24" t="n">
        <f aca="false">IF(C140&gt;=TotalStations,0,IF(B140="Dédié",MIN(FLOOR(420/E140,1),(TotalStations-C140)),MIN(1,(TotalStations-C140))))</f>
        <v>1</v>
      </c>
      <c r="G140" s="24" t="n">
        <f aca="false">C140+F140</f>
        <v>77</v>
      </c>
      <c r="H140" s="24" t="n">
        <f aca="false">L139</f>
        <v>148</v>
      </c>
      <c r="I140" s="24" t="str">
        <f aca="false">IF(H140&gt;=TotalStations,"Terminé",INDEX($A$10:$A$25,MATCH(SUMPRODUCT(($A$10:$A$25&lt;&gt;"")*($D$10:$D$25&lt;=H140))+1,$E$10:$E$25,0)))</f>
        <v>Shipping</v>
      </c>
      <c r="J140" s="24" t="n">
        <f aca="false">IF(H140&gt;=TotalStations,"",INDEX($C$10:$C$25,MATCH(SUMPRODUCT(($A$10:$A$25&lt;&gt;"")*($D$10:$D$25&lt;=H140))+1,$E$10:$E$25,0)))</f>
        <v>30</v>
      </c>
      <c r="K140" s="24" t="n">
        <f aca="false">IF(H140&gt;=TotalStations,0,IF(B140="Dédié",MIN(FLOOR(420/J140,1),(TotalStations-H140)),MIN(2,(TotalStations-H140))))</f>
        <v>2</v>
      </c>
      <c r="L140" s="24" t="n">
        <f aca="false">H140+K140</f>
        <v>150</v>
      </c>
      <c r="M140" s="24" t="n">
        <f aca="false">Q139</f>
        <v>199</v>
      </c>
      <c r="N140" s="24" t="str">
        <f aca="false">IF(M140&gt;=TotalStations,"Terminé",INDEX($A$10:$A$25,MATCH(SUMPRODUCT(($A$10:$A$25&lt;&gt;"")*($D$10:$D$25&lt;=M140))+1,$E$10:$E$25,0)))</f>
        <v>Terminé</v>
      </c>
      <c r="O140" s="24" t="str">
        <f aca="false">IF(M140&gt;=TotalStations,"",INDEX($C$10:$C$25,MATCH(SUMPRODUCT(($A$10:$A$25&lt;&gt;"")*($D$10:$D$25&lt;=M140))+1,$E$10:$E$25,0)))</f>
        <v/>
      </c>
      <c r="P140" s="24" t="n">
        <f aca="false">IF(M140&gt;=TotalStations,0,MIN(FLOOR(420/O140,1),(TotalStations-M140)))</f>
        <v>0</v>
      </c>
      <c r="Q140" s="24" t="n">
        <f aca="false">M140+P140</f>
        <v>199</v>
      </c>
    </row>
    <row r="141" customFormat="false" ht="15" hidden="false" customHeight="true" outlineLevel="0" collapsed="false">
      <c r="A141" s="37" t="n">
        <f aca="false">WORKDAY(A140,1)</f>
        <v>46370</v>
      </c>
      <c r="B141" s="24" t="str">
        <f aca="false">IF(COUNTIF($B$5:$F$5,A141)&gt;0,"Dédié","Normal")</f>
        <v>Normal</v>
      </c>
      <c r="C141" s="24" t="n">
        <f aca="false">G140</f>
        <v>77</v>
      </c>
      <c r="D141" s="24" t="str">
        <f aca="false">IF(C141&gt;=TotalStations,"Terminé",INDEX($A$10:$A$25,MATCH(SUMPRODUCT(($A$10:$A$25&lt;&gt;"")*($D$10:$D$25&lt;=C141))+1,$E$10:$E$25,0)))</f>
        <v>P2R</v>
      </c>
      <c r="E141" s="24" t="n">
        <f aca="false">IF(C141&gt;=TotalStations,"",INDEX($C$10:$C$25,MATCH(SUMPRODUCT(($A$10:$A$25&lt;&gt;"")*($D$10:$D$25&lt;=C141))+1,$E$10:$E$25,0)))</f>
        <v>90</v>
      </c>
      <c r="F141" s="24" t="n">
        <f aca="false">IF(C141&gt;=TotalStations,0,IF(B141="Dédié",MIN(FLOOR(420/E141,1),(TotalStations-C141)),MIN(1,(TotalStations-C141))))</f>
        <v>1</v>
      </c>
      <c r="G141" s="24" t="n">
        <f aca="false">C141+F141</f>
        <v>78</v>
      </c>
      <c r="H141" s="24" t="n">
        <f aca="false">L140</f>
        <v>150</v>
      </c>
      <c r="I141" s="24" t="str">
        <f aca="false">IF(H141&gt;=TotalStations,"Terminé",INDEX($A$10:$A$25,MATCH(SUMPRODUCT(($A$10:$A$25&lt;&gt;"")*($D$10:$D$25&lt;=H141))+1,$E$10:$E$25,0)))</f>
        <v>Shipping</v>
      </c>
      <c r="J141" s="24" t="n">
        <f aca="false">IF(H141&gt;=TotalStations,"",INDEX($C$10:$C$25,MATCH(SUMPRODUCT(($A$10:$A$25&lt;&gt;"")*($D$10:$D$25&lt;=H141))+1,$E$10:$E$25,0)))</f>
        <v>30</v>
      </c>
      <c r="K141" s="24" t="n">
        <f aca="false">IF(H141&gt;=TotalStations,0,IF(B141="Dédié",MIN(FLOOR(420/J141,1),(TotalStations-H141)),MIN(2,(TotalStations-H141))))</f>
        <v>2</v>
      </c>
      <c r="L141" s="24" t="n">
        <f aca="false">H141+K141</f>
        <v>152</v>
      </c>
      <c r="M141" s="24" t="n">
        <f aca="false">Q140</f>
        <v>199</v>
      </c>
      <c r="N141" s="24" t="str">
        <f aca="false">IF(M141&gt;=TotalStations,"Terminé",INDEX($A$10:$A$25,MATCH(SUMPRODUCT(($A$10:$A$25&lt;&gt;"")*($D$10:$D$25&lt;=M141))+1,$E$10:$E$25,0)))</f>
        <v>Terminé</v>
      </c>
      <c r="O141" s="24" t="str">
        <f aca="false">IF(M141&gt;=TotalStations,"",INDEX($C$10:$C$25,MATCH(SUMPRODUCT(($A$10:$A$25&lt;&gt;"")*($D$10:$D$25&lt;=M141))+1,$E$10:$E$25,0)))</f>
        <v/>
      </c>
      <c r="P141" s="24" t="n">
        <f aca="false">IF(M141&gt;=TotalStations,0,MIN(FLOOR(420/O141,1),(TotalStations-M141)))</f>
        <v>0</v>
      </c>
      <c r="Q141" s="24" t="n">
        <f aca="false">M141+P141</f>
        <v>199</v>
      </c>
    </row>
    <row r="142" customFormat="false" ht="15" hidden="false" customHeight="true" outlineLevel="0" collapsed="false">
      <c r="A142" s="37" t="n">
        <f aca="false">WORKDAY(A141,1)</f>
        <v>46371</v>
      </c>
      <c r="B142" s="24" t="str">
        <f aca="false">IF(COUNTIF($B$5:$F$5,A142)&gt;0,"Dédié","Normal")</f>
        <v>Normal</v>
      </c>
      <c r="C142" s="24" t="n">
        <f aca="false">G141</f>
        <v>78</v>
      </c>
      <c r="D142" s="24" t="str">
        <f aca="false">IF(C142&gt;=TotalStations,"Terminé",INDEX($A$10:$A$25,MATCH(SUMPRODUCT(($A$10:$A$25&lt;&gt;"")*($D$10:$D$25&lt;=C142))+1,$E$10:$E$25,0)))</f>
        <v>P2R</v>
      </c>
      <c r="E142" s="24" t="n">
        <f aca="false">IF(C142&gt;=TotalStations,"",INDEX($C$10:$C$25,MATCH(SUMPRODUCT(($A$10:$A$25&lt;&gt;"")*($D$10:$D$25&lt;=C142))+1,$E$10:$E$25,0)))</f>
        <v>90</v>
      </c>
      <c r="F142" s="24" t="n">
        <f aca="false">IF(C142&gt;=TotalStations,0,IF(B142="Dédié",MIN(FLOOR(420/E142,1),(TotalStations-C142)),MIN(1,(TotalStations-C142))))</f>
        <v>1</v>
      </c>
      <c r="G142" s="24" t="n">
        <f aca="false">C142+F142</f>
        <v>79</v>
      </c>
      <c r="H142" s="24" t="n">
        <f aca="false">L141</f>
        <v>152</v>
      </c>
      <c r="I142" s="24" t="str">
        <f aca="false">IF(H142&gt;=TotalStations,"Terminé",INDEX($A$10:$A$25,MATCH(SUMPRODUCT(($A$10:$A$25&lt;&gt;"")*($D$10:$D$25&lt;=H142))+1,$E$10:$E$25,0)))</f>
        <v>Shipping</v>
      </c>
      <c r="J142" s="24" t="n">
        <f aca="false">IF(H142&gt;=TotalStations,"",INDEX($C$10:$C$25,MATCH(SUMPRODUCT(($A$10:$A$25&lt;&gt;"")*($D$10:$D$25&lt;=H142))+1,$E$10:$E$25,0)))</f>
        <v>30</v>
      </c>
      <c r="K142" s="24" t="n">
        <f aca="false">IF(H142&gt;=TotalStations,0,IF(B142="Dédié",MIN(FLOOR(420/J142,1),(TotalStations-H142)),MIN(2,(TotalStations-H142))))</f>
        <v>2</v>
      </c>
      <c r="L142" s="24" t="n">
        <f aca="false">H142+K142</f>
        <v>154</v>
      </c>
      <c r="M142" s="24" t="n">
        <f aca="false">Q141</f>
        <v>199</v>
      </c>
      <c r="N142" s="24" t="str">
        <f aca="false">IF(M142&gt;=TotalStations,"Terminé",INDEX($A$10:$A$25,MATCH(SUMPRODUCT(($A$10:$A$25&lt;&gt;"")*($D$10:$D$25&lt;=M142))+1,$E$10:$E$25,0)))</f>
        <v>Terminé</v>
      </c>
      <c r="O142" s="24" t="str">
        <f aca="false">IF(M142&gt;=TotalStations,"",INDEX($C$10:$C$25,MATCH(SUMPRODUCT(($A$10:$A$25&lt;&gt;"")*($D$10:$D$25&lt;=M142))+1,$E$10:$E$25,0)))</f>
        <v/>
      </c>
      <c r="P142" s="24" t="n">
        <f aca="false">IF(M142&gt;=TotalStations,0,MIN(FLOOR(420/O142,1),(TotalStations-M142)))</f>
        <v>0</v>
      </c>
      <c r="Q142" s="24" t="n">
        <f aca="false">M142+P142</f>
        <v>199</v>
      </c>
    </row>
    <row r="143" customFormat="false" ht="15" hidden="false" customHeight="true" outlineLevel="0" collapsed="false">
      <c r="A143" s="37" t="n">
        <f aca="false">WORKDAY(A142,1)</f>
        <v>46372</v>
      </c>
      <c r="B143" s="24" t="str">
        <f aca="false">IF(COUNTIF($B$5:$F$5,A143)&gt;0,"Dédié","Normal")</f>
        <v>Normal</v>
      </c>
      <c r="C143" s="24" t="n">
        <f aca="false">G142</f>
        <v>79</v>
      </c>
      <c r="D143" s="24" t="str">
        <f aca="false">IF(C143&gt;=TotalStations,"Terminé",INDEX($A$10:$A$25,MATCH(SUMPRODUCT(($A$10:$A$25&lt;&gt;"")*($D$10:$D$25&lt;=C143))+1,$E$10:$E$25,0)))</f>
        <v>P2R</v>
      </c>
      <c r="E143" s="24" t="n">
        <f aca="false">IF(C143&gt;=TotalStations,"",INDEX($C$10:$C$25,MATCH(SUMPRODUCT(($A$10:$A$25&lt;&gt;"")*($D$10:$D$25&lt;=C143))+1,$E$10:$E$25,0)))</f>
        <v>90</v>
      </c>
      <c r="F143" s="24" t="n">
        <f aca="false">IF(C143&gt;=TotalStations,0,IF(B143="Dédié",MIN(FLOOR(420/E143,1),(TotalStations-C143)),MIN(1,(TotalStations-C143))))</f>
        <v>1</v>
      </c>
      <c r="G143" s="24" t="n">
        <f aca="false">C143+F143</f>
        <v>80</v>
      </c>
      <c r="H143" s="24" t="n">
        <f aca="false">L142</f>
        <v>154</v>
      </c>
      <c r="I143" s="24" t="str">
        <f aca="false">IF(H143&gt;=TotalStations,"Terminé",INDEX($A$10:$A$25,MATCH(SUMPRODUCT(($A$10:$A$25&lt;&gt;"")*($D$10:$D$25&lt;=H143))+1,$E$10:$E$25,0)))</f>
        <v>Shipping</v>
      </c>
      <c r="J143" s="24" t="n">
        <f aca="false">IF(H143&gt;=TotalStations,"",INDEX($C$10:$C$25,MATCH(SUMPRODUCT(($A$10:$A$25&lt;&gt;"")*($D$10:$D$25&lt;=H143))+1,$E$10:$E$25,0)))</f>
        <v>30</v>
      </c>
      <c r="K143" s="24" t="n">
        <f aca="false">IF(H143&gt;=TotalStations,0,IF(B143="Dédié",MIN(FLOOR(420/J143,1),(TotalStations-H143)),MIN(2,(TotalStations-H143))))</f>
        <v>2</v>
      </c>
      <c r="L143" s="24" t="n">
        <f aca="false">H143+K143</f>
        <v>156</v>
      </c>
      <c r="M143" s="24" t="n">
        <f aca="false">Q142</f>
        <v>199</v>
      </c>
      <c r="N143" s="24" t="str">
        <f aca="false">IF(M143&gt;=TotalStations,"Terminé",INDEX($A$10:$A$25,MATCH(SUMPRODUCT(($A$10:$A$25&lt;&gt;"")*($D$10:$D$25&lt;=M143))+1,$E$10:$E$25,0)))</f>
        <v>Terminé</v>
      </c>
      <c r="O143" s="24" t="str">
        <f aca="false">IF(M143&gt;=TotalStations,"",INDEX($C$10:$C$25,MATCH(SUMPRODUCT(($A$10:$A$25&lt;&gt;"")*($D$10:$D$25&lt;=M143))+1,$E$10:$E$25,0)))</f>
        <v/>
      </c>
      <c r="P143" s="24" t="n">
        <f aca="false">IF(M143&gt;=TotalStations,0,MIN(FLOOR(420/O143,1),(TotalStations-M143)))</f>
        <v>0</v>
      </c>
      <c r="Q143" s="24" t="n">
        <f aca="false">M143+P143</f>
        <v>199</v>
      </c>
    </row>
    <row r="144" customFormat="false" ht="15" hidden="false" customHeight="true" outlineLevel="0" collapsed="false">
      <c r="A144" s="37" t="n">
        <f aca="false">WORKDAY(A143,1)</f>
        <v>46373</v>
      </c>
      <c r="B144" s="24" t="str">
        <f aca="false">IF(COUNTIF($B$5:$F$5,A144)&gt;0,"Dédié","Normal")</f>
        <v>Normal</v>
      </c>
      <c r="C144" s="24" t="n">
        <f aca="false">G143</f>
        <v>80</v>
      </c>
      <c r="D144" s="24" t="str">
        <f aca="false">IF(C144&gt;=TotalStations,"Terminé",INDEX($A$10:$A$25,MATCH(SUMPRODUCT(($A$10:$A$25&lt;&gt;"")*($D$10:$D$25&lt;=C144))+1,$E$10:$E$25,0)))</f>
        <v>P2R</v>
      </c>
      <c r="E144" s="24" t="n">
        <f aca="false">IF(C144&gt;=TotalStations,"",INDEX($C$10:$C$25,MATCH(SUMPRODUCT(($A$10:$A$25&lt;&gt;"")*($D$10:$D$25&lt;=C144))+1,$E$10:$E$25,0)))</f>
        <v>90</v>
      </c>
      <c r="F144" s="24" t="n">
        <f aca="false">IF(C144&gt;=TotalStations,0,IF(B144="Dédié",MIN(FLOOR(420/E144,1),(TotalStations-C144)),MIN(1,(TotalStations-C144))))</f>
        <v>1</v>
      </c>
      <c r="G144" s="24" t="n">
        <f aca="false">C144+F144</f>
        <v>81</v>
      </c>
      <c r="H144" s="24" t="n">
        <f aca="false">L143</f>
        <v>156</v>
      </c>
      <c r="I144" s="24" t="str">
        <f aca="false">IF(H144&gt;=TotalStations,"Terminé",INDEX($A$10:$A$25,MATCH(SUMPRODUCT(($A$10:$A$25&lt;&gt;"")*($D$10:$D$25&lt;=H144))+1,$E$10:$E$25,0)))</f>
        <v>Shipping</v>
      </c>
      <c r="J144" s="24" t="n">
        <f aca="false">IF(H144&gt;=TotalStations,"",INDEX($C$10:$C$25,MATCH(SUMPRODUCT(($A$10:$A$25&lt;&gt;"")*($D$10:$D$25&lt;=H144))+1,$E$10:$E$25,0)))</f>
        <v>30</v>
      </c>
      <c r="K144" s="24" t="n">
        <f aca="false">IF(H144&gt;=TotalStations,0,IF(B144="Dédié",MIN(FLOOR(420/J144,1),(TotalStations-H144)),MIN(2,(TotalStations-H144))))</f>
        <v>2</v>
      </c>
      <c r="L144" s="24" t="n">
        <f aca="false">H144+K144</f>
        <v>158</v>
      </c>
      <c r="M144" s="24" t="n">
        <f aca="false">Q143</f>
        <v>199</v>
      </c>
      <c r="N144" s="24" t="str">
        <f aca="false">IF(M144&gt;=TotalStations,"Terminé",INDEX($A$10:$A$25,MATCH(SUMPRODUCT(($A$10:$A$25&lt;&gt;"")*($D$10:$D$25&lt;=M144))+1,$E$10:$E$25,0)))</f>
        <v>Terminé</v>
      </c>
      <c r="O144" s="24" t="str">
        <f aca="false">IF(M144&gt;=TotalStations,"",INDEX($C$10:$C$25,MATCH(SUMPRODUCT(($A$10:$A$25&lt;&gt;"")*($D$10:$D$25&lt;=M144))+1,$E$10:$E$25,0)))</f>
        <v/>
      </c>
      <c r="P144" s="24" t="n">
        <f aca="false">IF(M144&gt;=TotalStations,0,MIN(FLOOR(420/O144,1),(TotalStations-M144)))</f>
        <v>0</v>
      </c>
      <c r="Q144" s="24" t="n">
        <f aca="false">M144+P144</f>
        <v>199</v>
      </c>
    </row>
    <row r="145" customFormat="false" ht="15" hidden="false" customHeight="true" outlineLevel="0" collapsed="false">
      <c r="A145" s="37" t="n">
        <f aca="false">WORKDAY(A144,1)</f>
        <v>46374</v>
      </c>
      <c r="B145" s="24" t="str">
        <f aca="false">IF(COUNTIF($B$5:$F$5,A145)&gt;0,"Dédié","Normal")</f>
        <v>Normal</v>
      </c>
      <c r="C145" s="24" t="n">
        <f aca="false">G144</f>
        <v>81</v>
      </c>
      <c r="D145" s="24" t="str">
        <f aca="false">IF(C145&gt;=TotalStations,"Terminé",INDEX($A$10:$A$25,MATCH(SUMPRODUCT(($A$10:$A$25&lt;&gt;"")*($D$10:$D$25&lt;=C145))+1,$E$10:$E$25,0)))</f>
        <v>P2R</v>
      </c>
      <c r="E145" s="24" t="n">
        <f aca="false">IF(C145&gt;=TotalStations,"",INDEX($C$10:$C$25,MATCH(SUMPRODUCT(($A$10:$A$25&lt;&gt;"")*($D$10:$D$25&lt;=C145))+1,$E$10:$E$25,0)))</f>
        <v>90</v>
      </c>
      <c r="F145" s="24" t="n">
        <f aca="false">IF(C145&gt;=TotalStations,0,IF(B145="Dédié",MIN(FLOOR(420/E145,1),(TotalStations-C145)),MIN(1,(TotalStations-C145))))</f>
        <v>1</v>
      </c>
      <c r="G145" s="24" t="n">
        <f aca="false">C145+F145</f>
        <v>82</v>
      </c>
      <c r="H145" s="24" t="n">
        <f aca="false">L144</f>
        <v>158</v>
      </c>
      <c r="I145" s="24" t="str">
        <f aca="false">IF(H145&gt;=TotalStations,"Terminé",INDEX($A$10:$A$25,MATCH(SUMPRODUCT(($A$10:$A$25&lt;&gt;"")*($D$10:$D$25&lt;=H145))+1,$E$10:$E$25,0)))</f>
        <v>Shipping</v>
      </c>
      <c r="J145" s="24" t="n">
        <f aca="false">IF(H145&gt;=TotalStations,"",INDEX($C$10:$C$25,MATCH(SUMPRODUCT(($A$10:$A$25&lt;&gt;"")*($D$10:$D$25&lt;=H145))+1,$E$10:$E$25,0)))</f>
        <v>30</v>
      </c>
      <c r="K145" s="24" t="n">
        <f aca="false">IF(H145&gt;=TotalStations,0,IF(B145="Dédié",MIN(FLOOR(420/J145,1),(TotalStations-H145)),MIN(2,(TotalStations-H145))))</f>
        <v>2</v>
      </c>
      <c r="L145" s="24" t="n">
        <f aca="false">H145+K145</f>
        <v>160</v>
      </c>
      <c r="M145" s="24" t="n">
        <f aca="false">Q144</f>
        <v>199</v>
      </c>
      <c r="N145" s="24" t="str">
        <f aca="false">IF(M145&gt;=TotalStations,"Terminé",INDEX($A$10:$A$25,MATCH(SUMPRODUCT(($A$10:$A$25&lt;&gt;"")*($D$10:$D$25&lt;=M145))+1,$E$10:$E$25,0)))</f>
        <v>Terminé</v>
      </c>
      <c r="O145" s="24" t="str">
        <f aca="false">IF(M145&gt;=TotalStations,"",INDEX($C$10:$C$25,MATCH(SUMPRODUCT(($A$10:$A$25&lt;&gt;"")*($D$10:$D$25&lt;=M145))+1,$E$10:$E$25,0)))</f>
        <v/>
      </c>
      <c r="P145" s="24" t="n">
        <f aca="false">IF(M145&gt;=TotalStations,0,MIN(FLOOR(420/O145,1),(TotalStations-M145)))</f>
        <v>0</v>
      </c>
      <c r="Q145" s="24" t="n">
        <f aca="false">M145+P145</f>
        <v>199</v>
      </c>
    </row>
    <row r="146" customFormat="false" ht="15" hidden="false" customHeight="true" outlineLevel="0" collapsed="false">
      <c r="A146" s="37" t="n">
        <f aca="false">WORKDAY(A145,1)</f>
        <v>46377</v>
      </c>
      <c r="B146" s="24" t="str">
        <f aca="false">IF(COUNTIF($B$5:$F$5,A146)&gt;0,"Dédié","Normal")</f>
        <v>Normal</v>
      </c>
      <c r="C146" s="24" t="n">
        <f aca="false">G145</f>
        <v>82</v>
      </c>
      <c r="D146" s="24" t="str">
        <f aca="false">IF(C146&gt;=TotalStations,"Terminé",INDEX($A$10:$A$25,MATCH(SUMPRODUCT(($A$10:$A$25&lt;&gt;"")*($D$10:$D$25&lt;=C146))+1,$E$10:$E$25,0)))</f>
        <v>P2R</v>
      </c>
      <c r="E146" s="24" t="n">
        <f aca="false">IF(C146&gt;=TotalStations,"",INDEX($C$10:$C$25,MATCH(SUMPRODUCT(($A$10:$A$25&lt;&gt;"")*($D$10:$D$25&lt;=C146))+1,$E$10:$E$25,0)))</f>
        <v>90</v>
      </c>
      <c r="F146" s="24" t="n">
        <f aca="false">IF(C146&gt;=TotalStations,0,IF(B146="Dédié",MIN(FLOOR(420/E146,1),(TotalStations-C146)),MIN(1,(TotalStations-C146))))</f>
        <v>1</v>
      </c>
      <c r="G146" s="24" t="n">
        <f aca="false">C146+F146</f>
        <v>83</v>
      </c>
      <c r="H146" s="24" t="n">
        <f aca="false">L145</f>
        <v>160</v>
      </c>
      <c r="I146" s="24" t="str">
        <f aca="false">IF(H146&gt;=TotalStations,"Terminé",INDEX($A$10:$A$25,MATCH(SUMPRODUCT(($A$10:$A$25&lt;&gt;"")*($D$10:$D$25&lt;=H146))+1,$E$10:$E$25,0)))</f>
        <v>XLI4 Receive 3</v>
      </c>
      <c r="J146" s="24" t="n">
        <f aca="false">IF(H146&gt;=TotalStations,"",INDEX($C$10:$C$25,MATCH(SUMPRODUCT(($A$10:$A$25&lt;&gt;"")*($D$10:$D$25&lt;=H146))+1,$E$10:$E$25,0)))</f>
        <v>30</v>
      </c>
      <c r="K146" s="24" t="n">
        <f aca="false">IF(H146&gt;=TotalStations,0,IF(B146="Dédié",MIN(FLOOR(420/J146,1),(TotalStations-H146)),MIN(2,(TotalStations-H146))))</f>
        <v>2</v>
      </c>
      <c r="L146" s="24" t="n">
        <f aca="false">H146+K146</f>
        <v>162</v>
      </c>
      <c r="M146" s="24" t="n">
        <f aca="false">Q145</f>
        <v>199</v>
      </c>
      <c r="N146" s="24" t="str">
        <f aca="false">IF(M146&gt;=TotalStations,"Terminé",INDEX($A$10:$A$25,MATCH(SUMPRODUCT(($A$10:$A$25&lt;&gt;"")*($D$10:$D$25&lt;=M146))+1,$E$10:$E$25,0)))</f>
        <v>Terminé</v>
      </c>
      <c r="O146" s="24" t="str">
        <f aca="false">IF(M146&gt;=TotalStations,"",INDEX($C$10:$C$25,MATCH(SUMPRODUCT(($A$10:$A$25&lt;&gt;"")*($D$10:$D$25&lt;=M146))+1,$E$10:$E$25,0)))</f>
        <v/>
      </c>
      <c r="P146" s="24" t="n">
        <f aca="false">IF(M146&gt;=TotalStations,0,MIN(FLOOR(420/O146,1),(TotalStations-M146)))</f>
        <v>0</v>
      </c>
      <c r="Q146" s="24" t="n">
        <f aca="false">M146+P146</f>
        <v>199</v>
      </c>
    </row>
    <row r="147" customFormat="false" ht="15" hidden="false" customHeight="true" outlineLevel="0" collapsed="false">
      <c r="A147" s="37" t="n">
        <f aca="false">WORKDAY(A146,1)</f>
        <v>46378</v>
      </c>
      <c r="B147" s="24" t="str">
        <f aca="false">IF(COUNTIF($B$5:$F$5,A147)&gt;0,"Dédié","Normal")</f>
        <v>Normal</v>
      </c>
      <c r="C147" s="24" t="n">
        <f aca="false">G146</f>
        <v>83</v>
      </c>
      <c r="D147" s="24" t="str">
        <f aca="false">IF(C147&gt;=TotalStations,"Terminé",INDEX($A$10:$A$25,MATCH(SUMPRODUCT(($A$10:$A$25&lt;&gt;"")*($D$10:$D$25&lt;=C147))+1,$E$10:$E$25,0)))</f>
        <v>P2R</v>
      </c>
      <c r="E147" s="24" t="n">
        <f aca="false">IF(C147&gt;=TotalStations,"",INDEX($C$10:$C$25,MATCH(SUMPRODUCT(($A$10:$A$25&lt;&gt;"")*($D$10:$D$25&lt;=C147))+1,$E$10:$E$25,0)))</f>
        <v>90</v>
      </c>
      <c r="F147" s="24" t="n">
        <f aca="false">IF(C147&gt;=TotalStations,0,IF(B147="Dédié",MIN(FLOOR(420/E147,1),(TotalStations-C147)),MIN(1,(TotalStations-C147))))</f>
        <v>1</v>
      </c>
      <c r="G147" s="24" t="n">
        <f aca="false">C147+F147</f>
        <v>84</v>
      </c>
      <c r="H147" s="24" t="n">
        <f aca="false">L146</f>
        <v>162</v>
      </c>
      <c r="I147" s="24" t="str">
        <f aca="false">IF(H147&gt;=TotalStations,"Terminé",INDEX($A$10:$A$25,MATCH(SUMPRODUCT(($A$10:$A$25&lt;&gt;"")*($D$10:$D$25&lt;=H147))+1,$E$10:$E$25,0)))</f>
        <v>XLI4 Receive 3</v>
      </c>
      <c r="J147" s="24" t="n">
        <f aca="false">IF(H147&gt;=TotalStations,"",INDEX($C$10:$C$25,MATCH(SUMPRODUCT(($A$10:$A$25&lt;&gt;"")*($D$10:$D$25&lt;=H147))+1,$E$10:$E$25,0)))</f>
        <v>30</v>
      </c>
      <c r="K147" s="24" t="n">
        <f aca="false">IF(H147&gt;=TotalStations,0,IF(B147="Dédié",MIN(FLOOR(420/J147,1),(TotalStations-H147)),MIN(2,(TotalStations-H147))))</f>
        <v>2</v>
      </c>
      <c r="L147" s="24" t="n">
        <f aca="false">H147+K147</f>
        <v>164</v>
      </c>
      <c r="M147" s="24" t="n">
        <f aca="false">Q146</f>
        <v>199</v>
      </c>
      <c r="N147" s="24" t="str">
        <f aca="false">IF(M147&gt;=TotalStations,"Terminé",INDEX($A$10:$A$25,MATCH(SUMPRODUCT(($A$10:$A$25&lt;&gt;"")*($D$10:$D$25&lt;=M147))+1,$E$10:$E$25,0)))</f>
        <v>Terminé</v>
      </c>
      <c r="O147" s="24" t="str">
        <f aca="false">IF(M147&gt;=TotalStations,"",INDEX($C$10:$C$25,MATCH(SUMPRODUCT(($A$10:$A$25&lt;&gt;"")*($D$10:$D$25&lt;=M147))+1,$E$10:$E$25,0)))</f>
        <v/>
      </c>
      <c r="P147" s="24" t="n">
        <f aca="false">IF(M147&gt;=TotalStations,0,MIN(FLOOR(420/O147,1),(TotalStations-M147)))</f>
        <v>0</v>
      </c>
      <c r="Q147" s="24" t="n">
        <f aca="false">M147+P147</f>
        <v>199</v>
      </c>
    </row>
    <row r="148" customFormat="false" ht="15" hidden="false" customHeight="true" outlineLevel="0" collapsed="false">
      <c r="A148" s="37" t="n">
        <f aca="false">WORKDAY(A147,1)</f>
        <v>46379</v>
      </c>
      <c r="B148" s="24" t="str">
        <f aca="false">IF(COUNTIF($B$5:$F$5,A148)&gt;0,"Dédié","Normal")</f>
        <v>Normal</v>
      </c>
      <c r="C148" s="24" t="n">
        <f aca="false">G147</f>
        <v>84</v>
      </c>
      <c r="D148" s="24" t="str">
        <f aca="false">IF(C148&gt;=TotalStations,"Terminé",INDEX($A$10:$A$25,MATCH(SUMPRODUCT(($A$10:$A$25&lt;&gt;"")*($D$10:$D$25&lt;=C148))+1,$E$10:$E$25,0)))</f>
        <v>P2R</v>
      </c>
      <c r="E148" s="24" t="n">
        <f aca="false">IF(C148&gt;=TotalStations,"",INDEX($C$10:$C$25,MATCH(SUMPRODUCT(($A$10:$A$25&lt;&gt;"")*($D$10:$D$25&lt;=C148))+1,$E$10:$E$25,0)))</f>
        <v>90</v>
      </c>
      <c r="F148" s="24" t="n">
        <f aca="false">IF(C148&gt;=TotalStations,0,IF(B148="Dédié",MIN(FLOOR(420/E148,1),(TotalStations-C148)),MIN(1,(TotalStations-C148))))</f>
        <v>1</v>
      </c>
      <c r="G148" s="24" t="n">
        <f aca="false">C148+F148</f>
        <v>85</v>
      </c>
      <c r="H148" s="24" t="n">
        <f aca="false">L147</f>
        <v>164</v>
      </c>
      <c r="I148" s="24" t="str">
        <f aca="false">IF(H148&gt;=TotalStations,"Terminé",INDEX($A$10:$A$25,MATCH(SUMPRODUCT(($A$10:$A$25&lt;&gt;"")*($D$10:$D$25&lt;=H148))+1,$E$10:$E$25,0)))</f>
        <v>XLI4 Receive 3</v>
      </c>
      <c r="J148" s="24" t="n">
        <f aca="false">IF(H148&gt;=TotalStations,"",INDEX($C$10:$C$25,MATCH(SUMPRODUCT(($A$10:$A$25&lt;&gt;"")*($D$10:$D$25&lt;=H148))+1,$E$10:$E$25,0)))</f>
        <v>30</v>
      </c>
      <c r="K148" s="24" t="n">
        <f aca="false">IF(H148&gt;=TotalStations,0,IF(B148="Dédié",MIN(FLOOR(420/J148,1),(TotalStations-H148)),MIN(2,(TotalStations-H148))))</f>
        <v>2</v>
      </c>
      <c r="L148" s="24" t="n">
        <f aca="false">H148+K148</f>
        <v>166</v>
      </c>
      <c r="M148" s="24" t="n">
        <f aca="false">Q147</f>
        <v>199</v>
      </c>
      <c r="N148" s="24" t="str">
        <f aca="false">IF(M148&gt;=TotalStations,"Terminé",INDEX($A$10:$A$25,MATCH(SUMPRODUCT(($A$10:$A$25&lt;&gt;"")*($D$10:$D$25&lt;=M148))+1,$E$10:$E$25,0)))</f>
        <v>Terminé</v>
      </c>
      <c r="O148" s="24" t="str">
        <f aca="false">IF(M148&gt;=TotalStations,"",INDEX($C$10:$C$25,MATCH(SUMPRODUCT(($A$10:$A$25&lt;&gt;"")*($D$10:$D$25&lt;=M148))+1,$E$10:$E$25,0)))</f>
        <v/>
      </c>
      <c r="P148" s="24" t="n">
        <f aca="false">IF(M148&gt;=TotalStations,0,MIN(FLOOR(420/O148,1),(TotalStations-M148)))</f>
        <v>0</v>
      </c>
      <c r="Q148" s="24" t="n">
        <f aca="false">M148+P148</f>
        <v>199</v>
      </c>
    </row>
    <row r="149" customFormat="false" ht="15" hidden="false" customHeight="true" outlineLevel="0" collapsed="false">
      <c r="A149" s="37" t="n">
        <f aca="false">WORKDAY(A148,1)</f>
        <v>46380</v>
      </c>
      <c r="B149" s="24" t="str">
        <f aca="false">IF(COUNTIF($B$5:$F$5,A149)&gt;0,"Dédié","Normal")</f>
        <v>Normal</v>
      </c>
      <c r="C149" s="24" t="n">
        <f aca="false">G148</f>
        <v>85</v>
      </c>
      <c r="D149" s="24" t="str">
        <f aca="false">IF(C149&gt;=TotalStations,"Terminé",INDEX($A$10:$A$25,MATCH(SUMPRODUCT(($A$10:$A$25&lt;&gt;"")*($D$10:$D$25&lt;=C149))+1,$E$10:$E$25,0)))</f>
        <v>P2R</v>
      </c>
      <c r="E149" s="24" t="n">
        <f aca="false">IF(C149&gt;=TotalStations,"",INDEX($C$10:$C$25,MATCH(SUMPRODUCT(($A$10:$A$25&lt;&gt;"")*($D$10:$D$25&lt;=C149))+1,$E$10:$E$25,0)))</f>
        <v>90</v>
      </c>
      <c r="F149" s="24" t="n">
        <f aca="false">IF(C149&gt;=TotalStations,0,IF(B149="Dédié",MIN(FLOOR(420/E149,1),(TotalStations-C149)),MIN(1,(TotalStations-C149))))</f>
        <v>1</v>
      </c>
      <c r="G149" s="24" t="n">
        <f aca="false">C149+F149</f>
        <v>86</v>
      </c>
      <c r="H149" s="24" t="n">
        <f aca="false">L148</f>
        <v>166</v>
      </c>
      <c r="I149" s="24" t="str">
        <f aca="false">IF(H149&gt;=TotalStations,"Terminé",INDEX($A$10:$A$25,MATCH(SUMPRODUCT(($A$10:$A$25&lt;&gt;"")*($D$10:$D$25&lt;=H149))+1,$E$10:$E$25,0)))</f>
        <v>XLI4 Receive 3</v>
      </c>
      <c r="J149" s="24" t="n">
        <f aca="false">IF(H149&gt;=TotalStations,"",INDEX($C$10:$C$25,MATCH(SUMPRODUCT(($A$10:$A$25&lt;&gt;"")*($D$10:$D$25&lt;=H149))+1,$E$10:$E$25,0)))</f>
        <v>30</v>
      </c>
      <c r="K149" s="24" t="n">
        <f aca="false">IF(H149&gt;=TotalStations,0,IF(B149="Dédié",MIN(FLOOR(420/J149,1),(TotalStations-H149)),MIN(2,(TotalStations-H149))))</f>
        <v>2</v>
      </c>
      <c r="L149" s="24" t="n">
        <f aca="false">H149+K149</f>
        <v>168</v>
      </c>
      <c r="M149" s="24" t="n">
        <f aca="false">Q148</f>
        <v>199</v>
      </c>
      <c r="N149" s="24" t="str">
        <f aca="false">IF(M149&gt;=TotalStations,"Terminé",INDEX($A$10:$A$25,MATCH(SUMPRODUCT(($A$10:$A$25&lt;&gt;"")*($D$10:$D$25&lt;=M149))+1,$E$10:$E$25,0)))</f>
        <v>Terminé</v>
      </c>
      <c r="O149" s="24" t="str">
        <f aca="false">IF(M149&gt;=TotalStations,"",INDEX($C$10:$C$25,MATCH(SUMPRODUCT(($A$10:$A$25&lt;&gt;"")*($D$10:$D$25&lt;=M149))+1,$E$10:$E$25,0)))</f>
        <v/>
      </c>
      <c r="P149" s="24" t="n">
        <f aca="false">IF(M149&gt;=TotalStations,0,MIN(FLOOR(420/O149,1),(TotalStations-M149)))</f>
        <v>0</v>
      </c>
      <c r="Q149" s="24" t="n">
        <f aca="false">M149+P149</f>
        <v>199</v>
      </c>
    </row>
    <row r="150" customFormat="false" ht="15" hidden="false" customHeight="true" outlineLevel="0" collapsed="false">
      <c r="A150" s="37" t="n">
        <f aca="false">WORKDAY(A149,1)</f>
        <v>46381</v>
      </c>
      <c r="B150" s="24" t="str">
        <f aca="false">IF(COUNTIF($B$5:$F$5,A150)&gt;0,"Dédié","Normal")</f>
        <v>Normal</v>
      </c>
      <c r="C150" s="24" t="n">
        <f aca="false">G149</f>
        <v>86</v>
      </c>
      <c r="D150" s="24" t="str">
        <f aca="false">IF(C150&gt;=TotalStations,"Terminé",INDEX($A$10:$A$25,MATCH(SUMPRODUCT(($A$10:$A$25&lt;&gt;"")*($D$10:$D$25&lt;=C150))+1,$E$10:$E$25,0)))</f>
        <v>P2R</v>
      </c>
      <c r="E150" s="24" t="n">
        <f aca="false">IF(C150&gt;=TotalStations,"",INDEX($C$10:$C$25,MATCH(SUMPRODUCT(($A$10:$A$25&lt;&gt;"")*($D$10:$D$25&lt;=C150))+1,$E$10:$E$25,0)))</f>
        <v>90</v>
      </c>
      <c r="F150" s="24" t="n">
        <f aca="false">IF(C150&gt;=TotalStations,0,IF(B150="Dédié",MIN(FLOOR(420/E150,1),(TotalStations-C150)),MIN(1,(TotalStations-C150))))</f>
        <v>1</v>
      </c>
      <c r="G150" s="24" t="n">
        <f aca="false">C150+F150</f>
        <v>87</v>
      </c>
      <c r="H150" s="24" t="n">
        <f aca="false">L149</f>
        <v>168</v>
      </c>
      <c r="I150" s="24" t="str">
        <f aca="false">IF(H150&gt;=TotalStations,"Terminé",INDEX($A$10:$A$25,MATCH(SUMPRODUCT(($A$10:$A$25&lt;&gt;"")*($D$10:$D$25&lt;=H150))+1,$E$10:$E$25,0)))</f>
        <v>XLI4 Receive 3</v>
      </c>
      <c r="J150" s="24" t="n">
        <f aca="false">IF(H150&gt;=TotalStations,"",INDEX($C$10:$C$25,MATCH(SUMPRODUCT(($A$10:$A$25&lt;&gt;"")*($D$10:$D$25&lt;=H150))+1,$E$10:$E$25,0)))</f>
        <v>30</v>
      </c>
      <c r="K150" s="24" t="n">
        <f aca="false">IF(H150&gt;=TotalStations,0,IF(B150="Dédié",MIN(FLOOR(420/J150,1),(TotalStations-H150)),MIN(2,(TotalStations-H150))))</f>
        <v>2</v>
      </c>
      <c r="L150" s="24" t="n">
        <f aca="false">H150+K150</f>
        <v>170</v>
      </c>
      <c r="M150" s="24" t="n">
        <f aca="false">Q149</f>
        <v>199</v>
      </c>
      <c r="N150" s="24" t="str">
        <f aca="false">IF(M150&gt;=TotalStations,"Terminé",INDEX($A$10:$A$25,MATCH(SUMPRODUCT(($A$10:$A$25&lt;&gt;"")*($D$10:$D$25&lt;=M150))+1,$E$10:$E$25,0)))</f>
        <v>Terminé</v>
      </c>
      <c r="O150" s="24" t="str">
        <f aca="false">IF(M150&gt;=TotalStations,"",INDEX($C$10:$C$25,MATCH(SUMPRODUCT(($A$10:$A$25&lt;&gt;"")*($D$10:$D$25&lt;=M150))+1,$E$10:$E$25,0)))</f>
        <v/>
      </c>
      <c r="P150" s="24" t="n">
        <f aca="false">IF(M150&gt;=TotalStations,0,MIN(FLOOR(420/O150,1),(TotalStations-M150)))</f>
        <v>0</v>
      </c>
      <c r="Q150" s="24" t="n">
        <f aca="false">M150+P150</f>
        <v>199</v>
      </c>
    </row>
    <row r="151" customFormat="false" ht="15" hidden="false" customHeight="true" outlineLevel="0" collapsed="false">
      <c r="A151" s="37" t="n">
        <f aca="false">WORKDAY(A150,1)</f>
        <v>46384</v>
      </c>
      <c r="B151" s="24" t="str">
        <f aca="false">IF(COUNTIF($B$5:$F$5,A151)&gt;0,"Dédié","Normal")</f>
        <v>Normal</v>
      </c>
      <c r="C151" s="24" t="n">
        <f aca="false">G150</f>
        <v>87</v>
      </c>
      <c r="D151" s="24" t="str">
        <f aca="false">IF(C151&gt;=TotalStations,"Terminé",INDEX($A$10:$A$25,MATCH(SUMPRODUCT(($A$10:$A$25&lt;&gt;"")*($D$10:$D$25&lt;=C151))+1,$E$10:$E$25,0)))</f>
        <v>P2R</v>
      </c>
      <c r="E151" s="24" t="n">
        <f aca="false">IF(C151&gt;=TotalStations,"",INDEX($C$10:$C$25,MATCH(SUMPRODUCT(($A$10:$A$25&lt;&gt;"")*($D$10:$D$25&lt;=C151))+1,$E$10:$E$25,0)))</f>
        <v>90</v>
      </c>
      <c r="F151" s="24" t="n">
        <f aca="false">IF(C151&gt;=TotalStations,0,IF(B151="Dédié",MIN(FLOOR(420/E151,1),(TotalStations-C151)),MIN(1,(TotalStations-C151))))</f>
        <v>1</v>
      </c>
      <c r="G151" s="24" t="n">
        <f aca="false">C151+F151</f>
        <v>88</v>
      </c>
      <c r="H151" s="24" t="n">
        <f aca="false">L150</f>
        <v>170</v>
      </c>
      <c r="I151" s="24" t="str">
        <f aca="false">IF(H151&gt;=TotalStations,"Terminé",INDEX($A$10:$A$25,MATCH(SUMPRODUCT(($A$10:$A$25&lt;&gt;"")*($D$10:$D$25&lt;=H151))+1,$E$10:$E$25,0)))</f>
        <v>XLI4 Receive 3</v>
      </c>
      <c r="J151" s="24" t="n">
        <f aca="false">IF(H151&gt;=TotalStations,"",INDEX($C$10:$C$25,MATCH(SUMPRODUCT(($A$10:$A$25&lt;&gt;"")*($D$10:$D$25&lt;=H151))+1,$E$10:$E$25,0)))</f>
        <v>30</v>
      </c>
      <c r="K151" s="24" t="n">
        <f aca="false">IF(H151&gt;=TotalStations,0,IF(B151="Dédié",MIN(FLOOR(420/J151,1),(TotalStations-H151)),MIN(2,(TotalStations-H151))))</f>
        <v>2</v>
      </c>
      <c r="L151" s="24" t="n">
        <f aca="false">H151+K151</f>
        <v>172</v>
      </c>
      <c r="M151" s="24" t="n">
        <f aca="false">Q150</f>
        <v>199</v>
      </c>
      <c r="N151" s="24" t="str">
        <f aca="false">IF(M151&gt;=TotalStations,"Terminé",INDEX($A$10:$A$25,MATCH(SUMPRODUCT(($A$10:$A$25&lt;&gt;"")*($D$10:$D$25&lt;=M151))+1,$E$10:$E$25,0)))</f>
        <v>Terminé</v>
      </c>
      <c r="O151" s="24" t="str">
        <f aca="false">IF(M151&gt;=TotalStations,"",INDEX($C$10:$C$25,MATCH(SUMPRODUCT(($A$10:$A$25&lt;&gt;"")*($D$10:$D$25&lt;=M151))+1,$E$10:$E$25,0)))</f>
        <v/>
      </c>
      <c r="P151" s="24" t="n">
        <f aca="false">IF(M151&gt;=TotalStations,0,MIN(FLOOR(420/O151,1),(TotalStations-M151)))</f>
        <v>0</v>
      </c>
      <c r="Q151" s="24" t="n">
        <f aca="false">M151+P151</f>
        <v>199</v>
      </c>
    </row>
    <row r="152" customFormat="false" ht="15" hidden="false" customHeight="true" outlineLevel="0" collapsed="false">
      <c r="A152" s="37" t="n">
        <f aca="false">WORKDAY(A151,1)</f>
        <v>46385</v>
      </c>
      <c r="B152" s="24" t="str">
        <f aca="false">IF(COUNTIF($B$5:$F$5,A152)&gt;0,"Dédié","Normal")</f>
        <v>Normal</v>
      </c>
      <c r="C152" s="24" t="n">
        <f aca="false">G151</f>
        <v>88</v>
      </c>
      <c r="D152" s="24" t="str">
        <f aca="false">IF(C152&gt;=TotalStations,"Terminé",INDEX($A$10:$A$25,MATCH(SUMPRODUCT(($A$10:$A$25&lt;&gt;"")*($D$10:$D$25&lt;=C152))+1,$E$10:$E$25,0)))</f>
        <v>P2R</v>
      </c>
      <c r="E152" s="24" t="n">
        <f aca="false">IF(C152&gt;=TotalStations,"",INDEX($C$10:$C$25,MATCH(SUMPRODUCT(($A$10:$A$25&lt;&gt;"")*($D$10:$D$25&lt;=C152))+1,$E$10:$E$25,0)))</f>
        <v>90</v>
      </c>
      <c r="F152" s="24" t="n">
        <f aca="false">IF(C152&gt;=TotalStations,0,IF(B152="Dédié",MIN(FLOOR(420/E152,1),(TotalStations-C152)),MIN(1,(TotalStations-C152))))</f>
        <v>1</v>
      </c>
      <c r="G152" s="24" t="n">
        <f aca="false">C152+F152</f>
        <v>89</v>
      </c>
      <c r="H152" s="24" t="n">
        <f aca="false">L151</f>
        <v>172</v>
      </c>
      <c r="I152" s="24" t="str">
        <f aca="false">IF(H152&gt;=TotalStations,"Terminé",INDEX($A$10:$A$25,MATCH(SUMPRODUCT(($A$10:$A$25&lt;&gt;"")*($D$10:$D$25&lt;=H152))+1,$E$10:$E$25,0)))</f>
        <v>XLI4 Receive 3</v>
      </c>
      <c r="J152" s="24" t="n">
        <f aca="false">IF(H152&gt;=TotalStations,"",INDEX($C$10:$C$25,MATCH(SUMPRODUCT(($A$10:$A$25&lt;&gt;"")*($D$10:$D$25&lt;=H152))+1,$E$10:$E$25,0)))</f>
        <v>30</v>
      </c>
      <c r="K152" s="24" t="n">
        <f aca="false">IF(H152&gt;=TotalStations,0,IF(B152="Dédié",MIN(FLOOR(420/J152,1),(TotalStations-H152)),MIN(2,(TotalStations-H152))))</f>
        <v>2</v>
      </c>
      <c r="L152" s="24" t="n">
        <f aca="false">H152+K152</f>
        <v>174</v>
      </c>
      <c r="M152" s="24" t="n">
        <f aca="false">Q151</f>
        <v>199</v>
      </c>
      <c r="N152" s="24" t="str">
        <f aca="false">IF(M152&gt;=TotalStations,"Terminé",INDEX($A$10:$A$25,MATCH(SUMPRODUCT(($A$10:$A$25&lt;&gt;"")*($D$10:$D$25&lt;=M152))+1,$E$10:$E$25,0)))</f>
        <v>Terminé</v>
      </c>
      <c r="O152" s="24" t="str">
        <f aca="false">IF(M152&gt;=TotalStations,"",INDEX($C$10:$C$25,MATCH(SUMPRODUCT(($A$10:$A$25&lt;&gt;"")*($D$10:$D$25&lt;=M152))+1,$E$10:$E$25,0)))</f>
        <v/>
      </c>
      <c r="P152" s="24" t="n">
        <f aca="false">IF(M152&gt;=TotalStations,0,MIN(FLOOR(420/O152,1),(TotalStations-M152)))</f>
        <v>0</v>
      </c>
      <c r="Q152" s="24" t="n">
        <f aca="false">M152+P152</f>
        <v>199</v>
      </c>
    </row>
    <row r="153" customFormat="false" ht="15" hidden="false" customHeight="true" outlineLevel="0" collapsed="false">
      <c r="A153" s="37" t="n">
        <f aca="false">WORKDAY(A152,1)</f>
        <v>46386</v>
      </c>
      <c r="B153" s="24" t="str">
        <f aca="false">IF(COUNTIF($B$5:$F$5,A153)&gt;0,"Dédié","Normal")</f>
        <v>Normal</v>
      </c>
      <c r="C153" s="24" t="n">
        <f aca="false">G152</f>
        <v>89</v>
      </c>
      <c r="D153" s="24" t="str">
        <f aca="false">IF(C153&gt;=TotalStations,"Terminé",INDEX($A$10:$A$25,MATCH(SUMPRODUCT(($A$10:$A$25&lt;&gt;"")*($D$10:$D$25&lt;=C153))+1,$E$10:$E$25,0)))</f>
        <v>P2R</v>
      </c>
      <c r="E153" s="24" t="n">
        <f aca="false">IF(C153&gt;=TotalStations,"",INDEX($C$10:$C$25,MATCH(SUMPRODUCT(($A$10:$A$25&lt;&gt;"")*($D$10:$D$25&lt;=C153))+1,$E$10:$E$25,0)))</f>
        <v>90</v>
      </c>
      <c r="F153" s="24" t="n">
        <f aca="false">IF(C153&gt;=TotalStations,0,IF(B153="Dédié",MIN(FLOOR(420/E153,1),(TotalStations-C153)),MIN(1,(TotalStations-C153))))</f>
        <v>1</v>
      </c>
      <c r="G153" s="24" t="n">
        <f aca="false">C153+F153</f>
        <v>90</v>
      </c>
      <c r="H153" s="24" t="n">
        <f aca="false">L152</f>
        <v>174</v>
      </c>
      <c r="I153" s="24" t="str">
        <f aca="false">IF(H153&gt;=TotalStations,"Terminé",INDEX($A$10:$A$25,MATCH(SUMPRODUCT(($A$10:$A$25&lt;&gt;"")*($D$10:$D$25&lt;=H153))+1,$E$10:$E$25,0)))</f>
        <v>XLI4 Receive 3</v>
      </c>
      <c r="J153" s="24" t="n">
        <f aca="false">IF(H153&gt;=TotalStations,"",INDEX($C$10:$C$25,MATCH(SUMPRODUCT(($A$10:$A$25&lt;&gt;"")*($D$10:$D$25&lt;=H153))+1,$E$10:$E$25,0)))</f>
        <v>30</v>
      </c>
      <c r="K153" s="24" t="n">
        <f aca="false">IF(H153&gt;=TotalStations,0,IF(B153="Dédié",MIN(FLOOR(420/J153,1),(TotalStations-H153)),MIN(2,(TotalStations-H153))))</f>
        <v>2</v>
      </c>
      <c r="L153" s="24" t="n">
        <f aca="false">H153+K153</f>
        <v>176</v>
      </c>
      <c r="M153" s="24" t="n">
        <f aca="false">Q152</f>
        <v>199</v>
      </c>
      <c r="N153" s="24" t="str">
        <f aca="false">IF(M153&gt;=TotalStations,"Terminé",INDEX($A$10:$A$25,MATCH(SUMPRODUCT(($A$10:$A$25&lt;&gt;"")*($D$10:$D$25&lt;=M153))+1,$E$10:$E$25,0)))</f>
        <v>Terminé</v>
      </c>
      <c r="O153" s="24" t="str">
        <f aca="false">IF(M153&gt;=TotalStations,"",INDEX($C$10:$C$25,MATCH(SUMPRODUCT(($A$10:$A$25&lt;&gt;"")*($D$10:$D$25&lt;=M153))+1,$E$10:$E$25,0)))</f>
        <v/>
      </c>
      <c r="P153" s="24" t="n">
        <f aca="false">IF(M153&gt;=TotalStations,0,MIN(FLOOR(420/O153,1),(TotalStations-M153)))</f>
        <v>0</v>
      </c>
      <c r="Q153" s="24" t="n">
        <f aca="false">M153+P153</f>
        <v>199</v>
      </c>
    </row>
    <row r="154" customFormat="false" ht="15" hidden="false" customHeight="true" outlineLevel="0" collapsed="false">
      <c r="A154" s="37" t="n">
        <f aca="false">WORKDAY(A153,1)</f>
        <v>46387</v>
      </c>
      <c r="B154" s="24" t="str">
        <f aca="false">IF(COUNTIF($B$5:$F$5,A154)&gt;0,"Dédié","Normal")</f>
        <v>Normal</v>
      </c>
      <c r="C154" s="24" t="n">
        <f aca="false">G153</f>
        <v>90</v>
      </c>
      <c r="D154" s="24" t="str">
        <f aca="false">IF(C154&gt;=TotalStations,"Terminé",INDEX($A$10:$A$25,MATCH(SUMPRODUCT(($A$10:$A$25&lt;&gt;"")*($D$10:$D$25&lt;=C154))+1,$E$10:$E$25,0)))</f>
        <v>P2R</v>
      </c>
      <c r="E154" s="24" t="n">
        <f aca="false">IF(C154&gt;=TotalStations,"",INDEX($C$10:$C$25,MATCH(SUMPRODUCT(($A$10:$A$25&lt;&gt;"")*($D$10:$D$25&lt;=C154))+1,$E$10:$E$25,0)))</f>
        <v>90</v>
      </c>
      <c r="F154" s="24" t="n">
        <f aca="false">IF(C154&gt;=TotalStations,0,IF(B154="Dédié",MIN(FLOOR(420/E154,1),(TotalStations-C154)),MIN(1,(TotalStations-C154))))</f>
        <v>1</v>
      </c>
      <c r="G154" s="24" t="n">
        <f aca="false">C154+F154</f>
        <v>91</v>
      </c>
      <c r="H154" s="24" t="n">
        <f aca="false">L153</f>
        <v>176</v>
      </c>
      <c r="I154" s="24" t="str">
        <f aca="false">IF(H154&gt;=TotalStations,"Terminé",INDEX($A$10:$A$25,MATCH(SUMPRODUCT(($A$10:$A$25&lt;&gt;"")*($D$10:$D$25&lt;=H154))+1,$E$10:$E$25,0)))</f>
        <v>XLI4 Receive 1</v>
      </c>
      <c r="J154" s="24" t="n">
        <f aca="false">IF(H154&gt;=TotalStations,"",INDEX($C$10:$C$25,MATCH(SUMPRODUCT(($A$10:$A$25&lt;&gt;"")*($D$10:$D$25&lt;=H154))+1,$E$10:$E$25,0)))</f>
        <v>30</v>
      </c>
      <c r="K154" s="24" t="n">
        <f aca="false">IF(H154&gt;=TotalStations,0,IF(B154="Dédié",MIN(FLOOR(420/J154,1),(TotalStations-H154)),MIN(2,(TotalStations-H154))))</f>
        <v>2</v>
      </c>
      <c r="L154" s="24" t="n">
        <f aca="false">H154+K154</f>
        <v>178</v>
      </c>
      <c r="M154" s="24" t="n">
        <f aca="false">Q153</f>
        <v>199</v>
      </c>
      <c r="N154" s="24" t="str">
        <f aca="false">IF(M154&gt;=TotalStations,"Terminé",INDEX($A$10:$A$25,MATCH(SUMPRODUCT(($A$10:$A$25&lt;&gt;"")*($D$10:$D$25&lt;=M154))+1,$E$10:$E$25,0)))</f>
        <v>Terminé</v>
      </c>
      <c r="O154" s="24" t="str">
        <f aca="false">IF(M154&gt;=TotalStations,"",INDEX($C$10:$C$25,MATCH(SUMPRODUCT(($A$10:$A$25&lt;&gt;"")*($D$10:$D$25&lt;=M154))+1,$E$10:$E$25,0)))</f>
        <v/>
      </c>
      <c r="P154" s="24" t="n">
        <f aca="false">IF(M154&gt;=TotalStations,0,MIN(FLOOR(420/O154,1),(TotalStations-M154)))</f>
        <v>0</v>
      </c>
      <c r="Q154" s="24" t="n">
        <f aca="false">M154+P154</f>
        <v>199</v>
      </c>
    </row>
    <row r="155" customFormat="false" ht="15" hidden="false" customHeight="true" outlineLevel="0" collapsed="false">
      <c r="A155" s="37" t="n">
        <f aca="false">WORKDAY(A154,1)</f>
        <v>46388</v>
      </c>
      <c r="B155" s="24" t="str">
        <f aca="false">IF(COUNTIF($B$5:$F$5,A155)&gt;0,"Dédié","Normal")</f>
        <v>Normal</v>
      </c>
      <c r="C155" s="24" t="n">
        <f aca="false">G154</f>
        <v>91</v>
      </c>
      <c r="D155" s="24" t="str">
        <f aca="false">IF(C155&gt;=TotalStations,"Terminé",INDEX($A$10:$A$25,MATCH(SUMPRODUCT(($A$10:$A$25&lt;&gt;"")*($D$10:$D$25&lt;=C155))+1,$E$10:$E$25,0)))</f>
        <v>P2R</v>
      </c>
      <c r="E155" s="24" t="n">
        <f aca="false">IF(C155&gt;=TotalStations,"",INDEX($C$10:$C$25,MATCH(SUMPRODUCT(($A$10:$A$25&lt;&gt;"")*($D$10:$D$25&lt;=C155))+1,$E$10:$E$25,0)))</f>
        <v>90</v>
      </c>
      <c r="F155" s="24" t="n">
        <f aca="false">IF(C155&gt;=TotalStations,0,IF(B155="Dédié",MIN(FLOOR(420/E155,1),(TotalStations-C155)),MIN(1,(TotalStations-C155))))</f>
        <v>1</v>
      </c>
      <c r="G155" s="24" t="n">
        <f aca="false">C155+F155</f>
        <v>92</v>
      </c>
      <c r="H155" s="24" t="n">
        <f aca="false">L154</f>
        <v>178</v>
      </c>
      <c r="I155" s="24" t="str">
        <f aca="false">IF(H155&gt;=TotalStations,"Terminé",INDEX($A$10:$A$25,MATCH(SUMPRODUCT(($A$10:$A$25&lt;&gt;"")*($D$10:$D$25&lt;=H155))+1,$E$10:$E$25,0)))</f>
        <v>XLI4 Receive 1</v>
      </c>
      <c r="J155" s="24" t="n">
        <f aca="false">IF(H155&gt;=TotalStations,"",INDEX($C$10:$C$25,MATCH(SUMPRODUCT(($A$10:$A$25&lt;&gt;"")*($D$10:$D$25&lt;=H155))+1,$E$10:$E$25,0)))</f>
        <v>30</v>
      </c>
      <c r="K155" s="24" t="n">
        <f aca="false">IF(H155&gt;=TotalStations,0,IF(B155="Dédié",MIN(FLOOR(420/J155,1),(TotalStations-H155)),MIN(2,(TotalStations-H155))))</f>
        <v>2</v>
      </c>
      <c r="L155" s="24" t="n">
        <f aca="false">H155+K155</f>
        <v>180</v>
      </c>
      <c r="M155" s="24" t="n">
        <f aca="false">Q154</f>
        <v>199</v>
      </c>
      <c r="N155" s="24" t="str">
        <f aca="false">IF(M155&gt;=TotalStations,"Terminé",INDEX($A$10:$A$25,MATCH(SUMPRODUCT(($A$10:$A$25&lt;&gt;"")*($D$10:$D$25&lt;=M155))+1,$E$10:$E$25,0)))</f>
        <v>Terminé</v>
      </c>
      <c r="O155" s="24" t="str">
        <f aca="false">IF(M155&gt;=TotalStations,"",INDEX($C$10:$C$25,MATCH(SUMPRODUCT(($A$10:$A$25&lt;&gt;"")*($D$10:$D$25&lt;=M155))+1,$E$10:$E$25,0)))</f>
        <v/>
      </c>
      <c r="P155" s="24" t="n">
        <f aca="false">IF(M155&gt;=TotalStations,0,MIN(FLOOR(420/O155,1),(TotalStations-M155)))</f>
        <v>0</v>
      </c>
      <c r="Q155" s="24" t="n">
        <f aca="false">M155+P155</f>
        <v>199</v>
      </c>
    </row>
    <row r="156" customFormat="false" ht="15" hidden="false" customHeight="true" outlineLevel="0" collapsed="false">
      <c r="A156" s="37" t="n">
        <f aca="false">WORKDAY(A155,1)</f>
        <v>46391</v>
      </c>
      <c r="B156" s="24" t="str">
        <f aca="false">IF(COUNTIF($B$5:$F$5,A156)&gt;0,"Dédié","Normal")</f>
        <v>Normal</v>
      </c>
      <c r="C156" s="24" t="n">
        <f aca="false">G155</f>
        <v>92</v>
      </c>
      <c r="D156" s="24" t="str">
        <f aca="false">IF(C156&gt;=TotalStations,"Terminé",INDEX($A$10:$A$25,MATCH(SUMPRODUCT(($A$10:$A$25&lt;&gt;"")*($D$10:$D$25&lt;=C156))+1,$E$10:$E$25,0)))</f>
        <v>P2R</v>
      </c>
      <c r="E156" s="24" t="n">
        <f aca="false">IF(C156&gt;=TotalStations,"",INDEX($C$10:$C$25,MATCH(SUMPRODUCT(($A$10:$A$25&lt;&gt;"")*($D$10:$D$25&lt;=C156))+1,$E$10:$E$25,0)))</f>
        <v>90</v>
      </c>
      <c r="F156" s="24" t="n">
        <f aca="false">IF(C156&gt;=TotalStations,0,IF(B156="Dédié",MIN(FLOOR(420/E156,1),(TotalStations-C156)),MIN(1,(TotalStations-C156))))</f>
        <v>1</v>
      </c>
      <c r="G156" s="24" t="n">
        <f aca="false">C156+F156</f>
        <v>93</v>
      </c>
      <c r="H156" s="24" t="n">
        <f aca="false">L155</f>
        <v>180</v>
      </c>
      <c r="I156" s="24" t="str">
        <f aca="false">IF(H156&gt;=TotalStations,"Terminé",INDEX($A$10:$A$25,MATCH(SUMPRODUCT(($A$10:$A$25&lt;&gt;"")*($D$10:$D$25&lt;=H156))+1,$E$10:$E$25,0)))</f>
        <v>XLI4 Receive 1</v>
      </c>
      <c r="J156" s="24" t="n">
        <f aca="false">IF(H156&gt;=TotalStations,"",INDEX($C$10:$C$25,MATCH(SUMPRODUCT(($A$10:$A$25&lt;&gt;"")*($D$10:$D$25&lt;=H156))+1,$E$10:$E$25,0)))</f>
        <v>30</v>
      </c>
      <c r="K156" s="24" t="n">
        <f aca="false">IF(H156&gt;=TotalStations,0,IF(B156="Dédié",MIN(FLOOR(420/J156,1),(TotalStations-H156)),MIN(2,(TotalStations-H156))))</f>
        <v>2</v>
      </c>
      <c r="L156" s="24" t="n">
        <f aca="false">H156+K156</f>
        <v>182</v>
      </c>
      <c r="M156" s="24" t="n">
        <f aca="false">Q155</f>
        <v>199</v>
      </c>
      <c r="N156" s="24" t="str">
        <f aca="false">IF(M156&gt;=TotalStations,"Terminé",INDEX($A$10:$A$25,MATCH(SUMPRODUCT(($A$10:$A$25&lt;&gt;"")*($D$10:$D$25&lt;=M156))+1,$E$10:$E$25,0)))</f>
        <v>Terminé</v>
      </c>
      <c r="O156" s="24" t="str">
        <f aca="false">IF(M156&gt;=TotalStations,"",INDEX($C$10:$C$25,MATCH(SUMPRODUCT(($A$10:$A$25&lt;&gt;"")*($D$10:$D$25&lt;=M156))+1,$E$10:$E$25,0)))</f>
        <v/>
      </c>
      <c r="P156" s="24" t="n">
        <f aca="false">IF(M156&gt;=TotalStations,0,MIN(FLOOR(420/O156,1),(TotalStations-M156)))</f>
        <v>0</v>
      </c>
      <c r="Q156" s="24" t="n">
        <f aca="false">M156+P156</f>
        <v>199</v>
      </c>
    </row>
    <row r="157" customFormat="false" ht="15" hidden="false" customHeight="true" outlineLevel="0" collapsed="false">
      <c r="A157" s="37" t="n">
        <f aca="false">WORKDAY(A156,1)</f>
        <v>46392</v>
      </c>
      <c r="B157" s="24" t="str">
        <f aca="false">IF(COUNTIF($B$5:$F$5,A157)&gt;0,"Dédié","Normal")</f>
        <v>Normal</v>
      </c>
      <c r="C157" s="24" t="n">
        <f aca="false">G156</f>
        <v>93</v>
      </c>
      <c r="D157" s="24" t="str">
        <f aca="false">IF(C157&gt;=TotalStations,"Terminé",INDEX($A$10:$A$25,MATCH(SUMPRODUCT(($A$10:$A$25&lt;&gt;"")*($D$10:$D$25&lt;=C157))+1,$E$10:$E$25,0)))</f>
        <v>P2R</v>
      </c>
      <c r="E157" s="24" t="n">
        <f aca="false">IF(C157&gt;=TotalStations,"",INDEX($C$10:$C$25,MATCH(SUMPRODUCT(($A$10:$A$25&lt;&gt;"")*($D$10:$D$25&lt;=C157))+1,$E$10:$E$25,0)))</f>
        <v>90</v>
      </c>
      <c r="F157" s="24" t="n">
        <f aca="false">IF(C157&gt;=TotalStations,0,IF(B157="Dédié",MIN(FLOOR(420/E157,1),(TotalStations-C157)),MIN(1,(TotalStations-C157))))</f>
        <v>1</v>
      </c>
      <c r="G157" s="24" t="n">
        <f aca="false">C157+F157</f>
        <v>94</v>
      </c>
      <c r="H157" s="24" t="n">
        <f aca="false">L156</f>
        <v>182</v>
      </c>
      <c r="I157" s="24" t="str">
        <f aca="false">IF(H157&gt;=TotalStations,"Terminé",INDEX($A$10:$A$25,MATCH(SUMPRODUCT(($A$10:$A$25&lt;&gt;"")*($D$10:$D$25&lt;=H157))+1,$E$10:$E$25,0)))</f>
        <v>XLI4 Receive 2</v>
      </c>
      <c r="J157" s="24" t="n">
        <f aca="false">IF(H157&gt;=TotalStations,"",INDEX($C$10:$C$25,MATCH(SUMPRODUCT(($A$10:$A$25&lt;&gt;"")*($D$10:$D$25&lt;=H157))+1,$E$10:$E$25,0)))</f>
        <v>30</v>
      </c>
      <c r="K157" s="24" t="n">
        <f aca="false">IF(H157&gt;=TotalStations,0,IF(B157="Dédié",MIN(FLOOR(420/J157,1),(TotalStations-H157)),MIN(2,(TotalStations-H157))))</f>
        <v>2</v>
      </c>
      <c r="L157" s="24" t="n">
        <f aca="false">H157+K157</f>
        <v>184</v>
      </c>
      <c r="M157" s="24" t="n">
        <f aca="false">Q156</f>
        <v>199</v>
      </c>
      <c r="N157" s="24" t="str">
        <f aca="false">IF(M157&gt;=TotalStations,"Terminé",INDEX($A$10:$A$25,MATCH(SUMPRODUCT(($A$10:$A$25&lt;&gt;"")*($D$10:$D$25&lt;=M157))+1,$E$10:$E$25,0)))</f>
        <v>Terminé</v>
      </c>
      <c r="O157" s="24" t="str">
        <f aca="false">IF(M157&gt;=TotalStations,"",INDEX($C$10:$C$25,MATCH(SUMPRODUCT(($A$10:$A$25&lt;&gt;"")*($D$10:$D$25&lt;=M157))+1,$E$10:$E$25,0)))</f>
        <v/>
      </c>
      <c r="P157" s="24" t="n">
        <f aca="false">IF(M157&gt;=TotalStations,0,MIN(FLOOR(420/O157,1),(TotalStations-M157)))</f>
        <v>0</v>
      </c>
      <c r="Q157" s="24" t="n">
        <f aca="false">M157+P157</f>
        <v>199</v>
      </c>
    </row>
    <row r="158" customFormat="false" ht="15" hidden="false" customHeight="true" outlineLevel="0" collapsed="false">
      <c r="A158" s="37" t="n">
        <f aca="false">WORKDAY(A157,1)</f>
        <v>46393</v>
      </c>
      <c r="B158" s="24" t="str">
        <f aca="false">IF(COUNTIF($B$5:$F$5,A158)&gt;0,"Dédié","Normal")</f>
        <v>Normal</v>
      </c>
      <c r="C158" s="24" t="n">
        <f aca="false">G157</f>
        <v>94</v>
      </c>
      <c r="D158" s="24" t="str">
        <f aca="false">IF(C158&gt;=TotalStations,"Terminé",INDEX($A$10:$A$25,MATCH(SUMPRODUCT(($A$10:$A$25&lt;&gt;"")*($D$10:$D$25&lt;=C158))+1,$E$10:$E$25,0)))</f>
        <v>P2R</v>
      </c>
      <c r="E158" s="24" t="n">
        <f aca="false">IF(C158&gt;=TotalStations,"",INDEX($C$10:$C$25,MATCH(SUMPRODUCT(($A$10:$A$25&lt;&gt;"")*($D$10:$D$25&lt;=C158))+1,$E$10:$E$25,0)))</f>
        <v>90</v>
      </c>
      <c r="F158" s="24" t="n">
        <f aca="false">IF(C158&gt;=TotalStations,0,IF(B158="Dédié",MIN(FLOOR(420/E158,1),(TotalStations-C158)),MIN(1,(TotalStations-C158))))</f>
        <v>1</v>
      </c>
      <c r="G158" s="24" t="n">
        <f aca="false">C158+F158</f>
        <v>95</v>
      </c>
      <c r="H158" s="24" t="n">
        <f aca="false">L157</f>
        <v>184</v>
      </c>
      <c r="I158" s="24" t="str">
        <f aca="false">IF(H158&gt;=TotalStations,"Terminé",INDEX($A$10:$A$25,MATCH(SUMPRODUCT(($A$10:$A$25&lt;&gt;"")*($D$10:$D$25&lt;=H158))+1,$E$10:$E$25,0)))</f>
        <v>XLI4 Receive 2</v>
      </c>
      <c r="J158" s="24" t="n">
        <f aca="false">IF(H158&gt;=TotalStations,"",INDEX($C$10:$C$25,MATCH(SUMPRODUCT(($A$10:$A$25&lt;&gt;"")*($D$10:$D$25&lt;=H158))+1,$E$10:$E$25,0)))</f>
        <v>30</v>
      </c>
      <c r="K158" s="24" t="n">
        <f aca="false">IF(H158&gt;=TotalStations,0,IF(B158="Dédié",MIN(FLOOR(420/J158,1),(TotalStations-H158)),MIN(2,(TotalStations-H158))))</f>
        <v>2</v>
      </c>
      <c r="L158" s="24" t="n">
        <f aca="false">H158+K158</f>
        <v>186</v>
      </c>
      <c r="M158" s="24" t="n">
        <f aca="false">Q157</f>
        <v>199</v>
      </c>
      <c r="N158" s="24" t="str">
        <f aca="false">IF(M158&gt;=TotalStations,"Terminé",INDEX($A$10:$A$25,MATCH(SUMPRODUCT(($A$10:$A$25&lt;&gt;"")*($D$10:$D$25&lt;=M158))+1,$E$10:$E$25,0)))</f>
        <v>Terminé</v>
      </c>
      <c r="O158" s="24" t="str">
        <f aca="false">IF(M158&gt;=TotalStations,"",INDEX($C$10:$C$25,MATCH(SUMPRODUCT(($A$10:$A$25&lt;&gt;"")*($D$10:$D$25&lt;=M158))+1,$E$10:$E$25,0)))</f>
        <v/>
      </c>
      <c r="P158" s="24" t="n">
        <f aca="false">IF(M158&gt;=TotalStations,0,MIN(FLOOR(420/O158,1),(TotalStations-M158)))</f>
        <v>0</v>
      </c>
      <c r="Q158" s="24" t="n">
        <f aca="false">M158+P158</f>
        <v>199</v>
      </c>
    </row>
    <row r="159" customFormat="false" ht="15" hidden="false" customHeight="true" outlineLevel="0" collapsed="false">
      <c r="A159" s="37" t="n">
        <f aca="false">WORKDAY(A158,1)</f>
        <v>46394</v>
      </c>
      <c r="B159" s="24" t="str">
        <f aca="false">IF(COUNTIF($B$5:$F$5,A159)&gt;0,"Dédié","Normal")</f>
        <v>Normal</v>
      </c>
      <c r="C159" s="24" t="n">
        <f aca="false">G158</f>
        <v>95</v>
      </c>
      <c r="D159" s="24" t="str">
        <f aca="false">IF(C159&gt;=TotalStations,"Terminé",INDEX($A$10:$A$25,MATCH(SUMPRODUCT(($A$10:$A$25&lt;&gt;"")*($D$10:$D$25&lt;=C159))+1,$E$10:$E$25,0)))</f>
        <v>P2R</v>
      </c>
      <c r="E159" s="24" t="n">
        <f aca="false">IF(C159&gt;=TotalStations,"",INDEX($C$10:$C$25,MATCH(SUMPRODUCT(($A$10:$A$25&lt;&gt;"")*($D$10:$D$25&lt;=C159))+1,$E$10:$E$25,0)))</f>
        <v>90</v>
      </c>
      <c r="F159" s="24" t="n">
        <f aca="false">IF(C159&gt;=TotalStations,0,IF(B159="Dédié",MIN(FLOOR(420/E159,1),(TotalStations-C159)),MIN(1,(TotalStations-C159))))</f>
        <v>1</v>
      </c>
      <c r="G159" s="24" t="n">
        <f aca="false">C159+F159</f>
        <v>96</v>
      </c>
      <c r="H159" s="24" t="n">
        <f aca="false">L158</f>
        <v>186</v>
      </c>
      <c r="I159" s="24" t="str">
        <f aca="false">IF(H159&gt;=TotalStations,"Terminé",INDEX($A$10:$A$25,MATCH(SUMPRODUCT(($A$10:$A$25&lt;&gt;"")*($D$10:$D$25&lt;=H159))+1,$E$10:$E$25,0)))</f>
        <v>XLI4 Receive 2</v>
      </c>
      <c r="J159" s="24" t="n">
        <f aca="false">IF(H159&gt;=TotalStations,"",INDEX($C$10:$C$25,MATCH(SUMPRODUCT(($A$10:$A$25&lt;&gt;"")*($D$10:$D$25&lt;=H159))+1,$E$10:$E$25,0)))</f>
        <v>30</v>
      </c>
      <c r="K159" s="24" t="n">
        <f aca="false">IF(H159&gt;=TotalStations,0,IF(B159="Dédié",MIN(FLOOR(420/J159,1),(TotalStations-H159)),MIN(2,(TotalStations-H159))))</f>
        <v>2</v>
      </c>
      <c r="L159" s="24" t="n">
        <f aca="false">H159+K159</f>
        <v>188</v>
      </c>
      <c r="M159" s="24" t="n">
        <f aca="false">Q158</f>
        <v>199</v>
      </c>
      <c r="N159" s="24" t="str">
        <f aca="false">IF(M159&gt;=TotalStations,"Terminé",INDEX($A$10:$A$25,MATCH(SUMPRODUCT(($A$10:$A$25&lt;&gt;"")*($D$10:$D$25&lt;=M159))+1,$E$10:$E$25,0)))</f>
        <v>Terminé</v>
      </c>
      <c r="O159" s="24" t="str">
        <f aca="false">IF(M159&gt;=TotalStations,"",INDEX($C$10:$C$25,MATCH(SUMPRODUCT(($A$10:$A$25&lt;&gt;"")*($D$10:$D$25&lt;=M159))+1,$E$10:$E$25,0)))</f>
        <v/>
      </c>
      <c r="P159" s="24" t="n">
        <f aca="false">IF(M159&gt;=TotalStations,0,MIN(FLOOR(420/O159,1),(TotalStations-M159)))</f>
        <v>0</v>
      </c>
      <c r="Q159" s="24" t="n">
        <f aca="false">M159+P159</f>
        <v>199</v>
      </c>
    </row>
    <row r="160" customFormat="false" ht="15" hidden="false" customHeight="true" outlineLevel="0" collapsed="false">
      <c r="A160" s="37" t="n">
        <f aca="false">WORKDAY(A159,1)</f>
        <v>46395</v>
      </c>
      <c r="B160" s="24" t="str">
        <f aca="false">IF(COUNTIF($B$5:$F$5,A160)&gt;0,"Dédié","Normal")</f>
        <v>Normal</v>
      </c>
      <c r="C160" s="24" t="n">
        <f aca="false">G159</f>
        <v>96</v>
      </c>
      <c r="D160" s="24" t="str">
        <f aca="false">IF(C160&gt;=TotalStations,"Terminé",INDEX($A$10:$A$25,MATCH(SUMPRODUCT(($A$10:$A$25&lt;&gt;"")*($D$10:$D$25&lt;=C160))+1,$E$10:$E$25,0)))</f>
        <v>P2R</v>
      </c>
      <c r="E160" s="24" t="n">
        <f aca="false">IF(C160&gt;=TotalStations,"",INDEX($C$10:$C$25,MATCH(SUMPRODUCT(($A$10:$A$25&lt;&gt;"")*($D$10:$D$25&lt;=C160))+1,$E$10:$E$25,0)))</f>
        <v>90</v>
      </c>
      <c r="F160" s="24" t="n">
        <f aca="false">IF(C160&gt;=TotalStations,0,IF(B160="Dédié",MIN(FLOOR(420/E160,1),(TotalStations-C160)),MIN(1,(TotalStations-C160))))</f>
        <v>1</v>
      </c>
      <c r="G160" s="24" t="n">
        <f aca="false">C160+F160</f>
        <v>97</v>
      </c>
      <c r="H160" s="24" t="n">
        <f aca="false">L159</f>
        <v>188</v>
      </c>
      <c r="I160" s="24" t="str">
        <f aca="false">IF(H160&gt;=TotalStations,"Terminé",INDEX($A$10:$A$25,MATCH(SUMPRODUCT(($A$10:$A$25&lt;&gt;"")*($D$10:$D$25&lt;=H160))+1,$E$10:$E$25,0)))</f>
        <v>XLI4 Sort 1</v>
      </c>
      <c r="J160" s="24" t="n">
        <f aca="false">IF(H160&gt;=TotalStations,"",INDEX($C$10:$C$25,MATCH(SUMPRODUCT(($A$10:$A$25&lt;&gt;"")*($D$10:$D$25&lt;=H160))+1,$E$10:$E$25,0)))</f>
        <v>30</v>
      </c>
      <c r="K160" s="24" t="n">
        <f aca="false">IF(H160&gt;=TotalStations,0,IF(B160="Dédié",MIN(FLOOR(420/J160,1),(TotalStations-H160)),MIN(2,(TotalStations-H160))))</f>
        <v>2</v>
      </c>
      <c r="L160" s="24" t="n">
        <f aca="false">H160+K160</f>
        <v>190</v>
      </c>
      <c r="M160" s="24" t="n">
        <f aca="false">Q159</f>
        <v>199</v>
      </c>
      <c r="N160" s="24" t="str">
        <f aca="false">IF(M160&gt;=TotalStations,"Terminé",INDEX($A$10:$A$25,MATCH(SUMPRODUCT(($A$10:$A$25&lt;&gt;"")*($D$10:$D$25&lt;=M160))+1,$E$10:$E$25,0)))</f>
        <v>Terminé</v>
      </c>
      <c r="O160" s="24" t="str">
        <f aca="false">IF(M160&gt;=TotalStations,"",INDEX($C$10:$C$25,MATCH(SUMPRODUCT(($A$10:$A$25&lt;&gt;"")*($D$10:$D$25&lt;=M160))+1,$E$10:$E$25,0)))</f>
        <v/>
      </c>
      <c r="P160" s="24" t="n">
        <f aca="false">IF(M160&gt;=TotalStations,0,MIN(FLOOR(420/O160,1),(TotalStations-M160)))</f>
        <v>0</v>
      </c>
      <c r="Q160" s="24" t="n">
        <f aca="false">M160+P160</f>
        <v>199</v>
      </c>
    </row>
    <row r="161" customFormat="false" ht="15" hidden="false" customHeight="true" outlineLevel="0" collapsed="false">
      <c r="A161" s="37" t="n">
        <f aca="false">WORKDAY(A160,1)</f>
        <v>46398</v>
      </c>
      <c r="B161" s="24" t="str">
        <f aca="false">IF(COUNTIF($B$5:$F$5,A161)&gt;0,"Dédié","Normal")</f>
        <v>Normal</v>
      </c>
      <c r="C161" s="24" t="n">
        <f aca="false">G160</f>
        <v>97</v>
      </c>
      <c r="D161" s="24" t="str">
        <f aca="false">IF(C161&gt;=TotalStations,"Terminé",INDEX($A$10:$A$25,MATCH(SUMPRODUCT(($A$10:$A$25&lt;&gt;"")*($D$10:$D$25&lt;=C161))+1,$E$10:$E$25,0)))</f>
        <v>P2R</v>
      </c>
      <c r="E161" s="24" t="n">
        <f aca="false">IF(C161&gt;=TotalStations,"",INDEX($C$10:$C$25,MATCH(SUMPRODUCT(($A$10:$A$25&lt;&gt;"")*($D$10:$D$25&lt;=C161))+1,$E$10:$E$25,0)))</f>
        <v>90</v>
      </c>
      <c r="F161" s="24" t="n">
        <f aca="false">IF(C161&gt;=TotalStations,0,IF(B161="Dédié",MIN(FLOOR(420/E161,1),(TotalStations-C161)),MIN(1,(TotalStations-C161))))</f>
        <v>1</v>
      </c>
      <c r="G161" s="24" t="n">
        <f aca="false">C161+F161</f>
        <v>98</v>
      </c>
      <c r="H161" s="24" t="n">
        <f aca="false">L160</f>
        <v>190</v>
      </c>
      <c r="I161" s="24" t="str">
        <f aca="false">IF(H161&gt;=TotalStations,"Terminé",INDEX($A$10:$A$25,MATCH(SUMPRODUCT(($A$10:$A$25&lt;&gt;"")*($D$10:$D$25&lt;=H161))+1,$E$10:$E$25,0)))</f>
        <v>XLI4 Sort 1</v>
      </c>
      <c r="J161" s="24" t="n">
        <f aca="false">IF(H161&gt;=TotalStations,"",INDEX($C$10:$C$25,MATCH(SUMPRODUCT(($A$10:$A$25&lt;&gt;"")*($D$10:$D$25&lt;=H161))+1,$E$10:$E$25,0)))</f>
        <v>30</v>
      </c>
      <c r="K161" s="24" t="n">
        <f aca="false">IF(H161&gt;=TotalStations,0,IF(B161="Dédié",MIN(FLOOR(420/J161,1),(TotalStations-H161)),MIN(2,(TotalStations-H161))))</f>
        <v>2</v>
      </c>
      <c r="L161" s="24" t="n">
        <f aca="false">H161+K161</f>
        <v>192</v>
      </c>
      <c r="M161" s="24" t="n">
        <f aca="false">Q160</f>
        <v>199</v>
      </c>
      <c r="N161" s="24" t="str">
        <f aca="false">IF(M161&gt;=TotalStations,"Terminé",INDEX($A$10:$A$25,MATCH(SUMPRODUCT(($A$10:$A$25&lt;&gt;"")*($D$10:$D$25&lt;=M161))+1,$E$10:$E$25,0)))</f>
        <v>Terminé</v>
      </c>
      <c r="O161" s="24" t="str">
        <f aca="false">IF(M161&gt;=TotalStations,"",INDEX($C$10:$C$25,MATCH(SUMPRODUCT(($A$10:$A$25&lt;&gt;"")*($D$10:$D$25&lt;=M161))+1,$E$10:$E$25,0)))</f>
        <v/>
      </c>
      <c r="P161" s="24" t="n">
        <f aca="false">IF(M161&gt;=TotalStations,0,MIN(FLOOR(420/O161,1),(TotalStations-M161)))</f>
        <v>0</v>
      </c>
      <c r="Q161" s="24" t="n">
        <f aca="false">M161+P161</f>
        <v>199</v>
      </c>
    </row>
    <row r="162" customFormat="false" ht="15" hidden="false" customHeight="true" outlineLevel="0" collapsed="false">
      <c r="A162" s="37" t="n">
        <f aca="false">WORKDAY(A161,1)</f>
        <v>46399</v>
      </c>
      <c r="B162" s="24" t="str">
        <f aca="false">IF(COUNTIF($B$5:$F$5,A162)&gt;0,"Dédié","Normal")</f>
        <v>Normal</v>
      </c>
      <c r="C162" s="24" t="n">
        <f aca="false">G161</f>
        <v>98</v>
      </c>
      <c r="D162" s="24" t="str">
        <f aca="false">IF(C162&gt;=TotalStations,"Terminé",INDEX($A$10:$A$25,MATCH(SUMPRODUCT(($A$10:$A$25&lt;&gt;"")*($D$10:$D$25&lt;=C162))+1,$E$10:$E$25,0)))</f>
        <v>P2R</v>
      </c>
      <c r="E162" s="24" t="n">
        <f aca="false">IF(C162&gt;=TotalStations,"",INDEX($C$10:$C$25,MATCH(SUMPRODUCT(($A$10:$A$25&lt;&gt;"")*($D$10:$D$25&lt;=C162))+1,$E$10:$E$25,0)))</f>
        <v>90</v>
      </c>
      <c r="F162" s="24" t="n">
        <f aca="false">IF(C162&gt;=TotalStations,0,IF(B162="Dédié",MIN(FLOOR(420/E162,1),(TotalStations-C162)),MIN(1,(TotalStations-C162))))</f>
        <v>1</v>
      </c>
      <c r="G162" s="24" t="n">
        <f aca="false">C162+F162</f>
        <v>99</v>
      </c>
      <c r="H162" s="24" t="n">
        <f aca="false">L161</f>
        <v>192</v>
      </c>
      <c r="I162" s="24" t="str">
        <f aca="false">IF(H162&gt;=TotalStations,"Terminé",INDEX($A$10:$A$25,MATCH(SUMPRODUCT(($A$10:$A$25&lt;&gt;"")*($D$10:$D$25&lt;=H162))+1,$E$10:$E$25,0)))</f>
        <v>XLI4 Sort 1</v>
      </c>
      <c r="J162" s="24" t="n">
        <f aca="false">IF(H162&gt;=TotalStations,"",INDEX($C$10:$C$25,MATCH(SUMPRODUCT(($A$10:$A$25&lt;&gt;"")*($D$10:$D$25&lt;=H162))+1,$E$10:$E$25,0)))</f>
        <v>30</v>
      </c>
      <c r="K162" s="24" t="n">
        <f aca="false">IF(H162&gt;=TotalStations,0,IF(B162="Dédié",MIN(FLOOR(420/J162,1),(TotalStations-H162)),MIN(2,(TotalStations-H162))))</f>
        <v>2</v>
      </c>
      <c r="L162" s="24" t="n">
        <f aca="false">H162+K162</f>
        <v>194</v>
      </c>
      <c r="M162" s="24" t="n">
        <f aca="false">Q161</f>
        <v>199</v>
      </c>
      <c r="N162" s="24" t="str">
        <f aca="false">IF(M162&gt;=TotalStations,"Terminé",INDEX($A$10:$A$25,MATCH(SUMPRODUCT(($A$10:$A$25&lt;&gt;"")*($D$10:$D$25&lt;=M162))+1,$E$10:$E$25,0)))</f>
        <v>Terminé</v>
      </c>
      <c r="O162" s="24" t="str">
        <f aca="false">IF(M162&gt;=TotalStations,"",INDEX($C$10:$C$25,MATCH(SUMPRODUCT(($A$10:$A$25&lt;&gt;"")*($D$10:$D$25&lt;=M162))+1,$E$10:$E$25,0)))</f>
        <v/>
      </c>
      <c r="P162" s="24" t="n">
        <f aca="false">IF(M162&gt;=TotalStations,0,MIN(FLOOR(420/O162,1),(TotalStations-M162)))</f>
        <v>0</v>
      </c>
      <c r="Q162" s="24" t="n">
        <f aca="false">M162+P162</f>
        <v>199</v>
      </c>
    </row>
    <row r="163" customFormat="false" ht="15" hidden="false" customHeight="true" outlineLevel="0" collapsed="false">
      <c r="A163" s="37" t="n">
        <f aca="false">WORKDAY(A162,1)</f>
        <v>46400</v>
      </c>
      <c r="B163" s="24" t="str">
        <f aca="false">IF(COUNTIF($B$5:$F$5,A163)&gt;0,"Dédié","Normal")</f>
        <v>Normal</v>
      </c>
      <c r="C163" s="24" t="n">
        <f aca="false">G162</f>
        <v>99</v>
      </c>
      <c r="D163" s="24" t="str">
        <f aca="false">IF(C163&gt;=TotalStations,"Terminé",INDEX($A$10:$A$25,MATCH(SUMPRODUCT(($A$10:$A$25&lt;&gt;"")*($D$10:$D$25&lt;=C163))+1,$E$10:$E$25,0)))</f>
        <v>P2R</v>
      </c>
      <c r="E163" s="24" t="n">
        <f aca="false">IF(C163&gt;=TotalStations,"",INDEX($C$10:$C$25,MATCH(SUMPRODUCT(($A$10:$A$25&lt;&gt;"")*($D$10:$D$25&lt;=C163))+1,$E$10:$E$25,0)))</f>
        <v>90</v>
      </c>
      <c r="F163" s="24" t="n">
        <f aca="false">IF(C163&gt;=TotalStations,0,IF(B163="Dédié",MIN(FLOOR(420/E163,1),(TotalStations-C163)),MIN(1,(TotalStations-C163))))</f>
        <v>1</v>
      </c>
      <c r="G163" s="24" t="n">
        <f aca="false">C163+F163</f>
        <v>100</v>
      </c>
      <c r="H163" s="24" t="n">
        <f aca="false">L162</f>
        <v>194</v>
      </c>
      <c r="I163" s="24" t="str">
        <f aca="false">IF(H163&gt;=TotalStations,"Terminé",INDEX($A$10:$A$25,MATCH(SUMPRODUCT(($A$10:$A$25&lt;&gt;"")*($D$10:$D$25&lt;=H163))+1,$E$10:$E$25,0)))</f>
        <v>XLI4 Sort 2</v>
      </c>
      <c r="J163" s="24" t="n">
        <f aca="false">IF(H163&gt;=TotalStations,"",INDEX($C$10:$C$25,MATCH(SUMPRODUCT(($A$10:$A$25&lt;&gt;"")*($D$10:$D$25&lt;=H163))+1,$E$10:$E$25,0)))</f>
        <v>30</v>
      </c>
      <c r="K163" s="24" t="n">
        <f aca="false">IF(H163&gt;=TotalStations,0,IF(B163="Dédié",MIN(FLOOR(420/J163,1),(TotalStations-H163)),MIN(2,(TotalStations-H163))))</f>
        <v>2</v>
      </c>
      <c r="L163" s="24" t="n">
        <f aca="false">H163+K163</f>
        <v>196</v>
      </c>
      <c r="M163" s="24" t="n">
        <f aca="false">Q162</f>
        <v>199</v>
      </c>
      <c r="N163" s="24" t="str">
        <f aca="false">IF(M163&gt;=TotalStations,"Terminé",INDEX($A$10:$A$25,MATCH(SUMPRODUCT(($A$10:$A$25&lt;&gt;"")*($D$10:$D$25&lt;=M163))+1,$E$10:$E$25,0)))</f>
        <v>Terminé</v>
      </c>
      <c r="O163" s="24" t="str">
        <f aca="false">IF(M163&gt;=TotalStations,"",INDEX($C$10:$C$25,MATCH(SUMPRODUCT(($A$10:$A$25&lt;&gt;"")*($D$10:$D$25&lt;=M163))+1,$E$10:$E$25,0)))</f>
        <v/>
      </c>
      <c r="P163" s="24" t="n">
        <f aca="false">IF(M163&gt;=TotalStations,0,MIN(FLOOR(420/O163,1),(TotalStations-M163)))</f>
        <v>0</v>
      </c>
      <c r="Q163" s="24" t="n">
        <f aca="false">M163+P163</f>
        <v>199</v>
      </c>
    </row>
    <row r="164" customFormat="false" ht="15" hidden="false" customHeight="true" outlineLevel="0" collapsed="false">
      <c r="A164" s="37" t="n">
        <f aca="false">WORKDAY(A163,1)</f>
        <v>46401</v>
      </c>
      <c r="B164" s="24" t="str">
        <f aca="false">IF(COUNTIF($B$5:$F$5,A164)&gt;0,"Dédié","Normal")</f>
        <v>Normal</v>
      </c>
      <c r="C164" s="24" t="n">
        <f aca="false">G163</f>
        <v>100</v>
      </c>
      <c r="D164" s="24" t="str">
        <f aca="false">IF(C164&gt;=TotalStations,"Terminé",INDEX($A$10:$A$25,MATCH(SUMPRODUCT(($A$10:$A$25&lt;&gt;"")*($D$10:$D$25&lt;=C164))+1,$E$10:$E$25,0)))</f>
        <v>P2R</v>
      </c>
      <c r="E164" s="24" t="n">
        <f aca="false">IF(C164&gt;=TotalStations,"",INDEX($C$10:$C$25,MATCH(SUMPRODUCT(($A$10:$A$25&lt;&gt;"")*($D$10:$D$25&lt;=C164))+1,$E$10:$E$25,0)))</f>
        <v>90</v>
      </c>
      <c r="F164" s="24" t="n">
        <f aca="false">IF(C164&gt;=TotalStations,0,IF(B164="Dédié",MIN(FLOOR(420/E164,1),(TotalStations-C164)),MIN(1,(TotalStations-C164))))</f>
        <v>1</v>
      </c>
      <c r="G164" s="24" t="n">
        <f aca="false">C164+F164</f>
        <v>101</v>
      </c>
      <c r="H164" s="24" t="n">
        <f aca="false">L163</f>
        <v>196</v>
      </c>
      <c r="I164" s="24" t="str">
        <f aca="false">IF(H164&gt;=TotalStations,"Terminé",INDEX($A$10:$A$25,MATCH(SUMPRODUCT(($A$10:$A$25&lt;&gt;"")*($D$10:$D$25&lt;=H164))+1,$E$10:$E$25,0)))</f>
        <v>XLI4 Sort 2</v>
      </c>
      <c r="J164" s="24" t="n">
        <f aca="false">IF(H164&gt;=TotalStations,"",INDEX($C$10:$C$25,MATCH(SUMPRODUCT(($A$10:$A$25&lt;&gt;"")*($D$10:$D$25&lt;=H164))+1,$E$10:$E$25,0)))</f>
        <v>30</v>
      </c>
      <c r="K164" s="24" t="n">
        <f aca="false">IF(H164&gt;=TotalStations,0,IF(B164="Dédié",MIN(FLOOR(420/J164,1),(TotalStations-H164)),MIN(2,(TotalStations-H164))))</f>
        <v>2</v>
      </c>
      <c r="L164" s="24" t="n">
        <f aca="false">H164+K164</f>
        <v>198</v>
      </c>
      <c r="M164" s="24" t="n">
        <f aca="false">Q163</f>
        <v>199</v>
      </c>
      <c r="N164" s="24" t="str">
        <f aca="false">IF(M164&gt;=TotalStations,"Terminé",INDEX($A$10:$A$25,MATCH(SUMPRODUCT(($A$10:$A$25&lt;&gt;"")*($D$10:$D$25&lt;=M164))+1,$E$10:$E$25,0)))</f>
        <v>Terminé</v>
      </c>
      <c r="O164" s="24" t="str">
        <f aca="false">IF(M164&gt;=TotalStations,"",INDEX($C$10:$C$25,MATCH(SUMPRODUCT(($A$10:$A$25&lt;&gt;"")*($D$10:$D$25&lt;=M164))+1,$E$10:$E$25,0)))</f>
        <v/>
      </c>
      <c r="P164" s="24" t="n">
        <f aca="false">IF(M164&gt;=TotalStations,0,MIN(FLOOR(420/O164,1),(TotalStations-M164)))</f>
        <v>0</v>
      </c>
      <c r="Q164" s="24" t="n">
        <f aca="false">M164+P164</f>
        <v>199</v>
      </c>
    </row>
    <row r="165" customFormat="false" ht="15" hidden="false" customHeight="true" outlineLevel="0" collapsed="false">
      <c r="A165" s="37" t="n">
        <f aca="false">WORKDAY(A164,1)</f>
        <v>46402</v>
      </c>
      <c r="B165" s="24" t="str">
        <f aca="false">IF(COUNTIF($B$5:$F$5,A165)&gt;0,"Dédié","Normal")</f>
        <v>Normal</v>
      </c>
      <c r="C165" s="24" t="n">
        <f aca="false">G164</f>
        <v>101</v>
      </c>
      <c r="D165" s="24" t="str">
        <f aca="false">IF(C165&gt;=TotalStations,"Terminé",INDEX($A$10:$A$25,MATCH(SUMPRODUCT(($A$10:$A$25&lt;&gt;"")*($D$10:$D$25&lt;=C165))+1,$E$10:$E$25,0)))</f>
        <v>P2R</v>
      </c>
      <c r="E165" s="24" t="n">
        <f aca="false">IF(C165&gt;=TotalStations,"",INDEX($C$10:$C$25,MATCH(SUMPRODUCT(($A$10:$A$25&lt;&gt;"")*($D$10:$D$25&lt;=C165))+1,$E$10:$E$25,0)))</f>
        <v>90</v>
      </c>
      <c r="F165" s="24" t="n">
        <f aca="false">IF(C165&gt;=TotalStations,0,IF(B165="Dédié",MIN(FLOOR(420/E165,1),(TotalStations-C165)),MIN(1,(TotalStations-C165))))</f>
        <v>1</v>
      </c>
      <c r="G165" s="24" t="n">
        <f aca="false">C165+F165</f>
        <v>102</v>
      </c>
      <c r="H165" s="24" t="n">
        <f aca="false">L164</f>
        <v>198</v>
      </c>
      <c r="I165" s="24" t="str">
        <f aca="false">IF(H165&gt;=TotalStations,"Terminé",INDEX($A$10:$A$25,MATCH(SUMPRODUCT(($A$10:$A$25&lt;&gt;"")*($D$10:$D$25&lt;=H165))+1,$E$10:$E$25,0)))</f>
        <v>XLI4 Sort 2</v>
      </c>
      <c r="J165" s="24" t="n">
        <f aca="false">IF(H165&gt;=TotalStations,"",INDEX($C$10:$C$25,MATCH(SUMPRODUCT(($A$10:$A$25&lt;&gt;"")*($D$10:$D$25&lt;=H165))+1,$E$10:$E$25,0)))</f>
        <v>30</v>
      </c>
      <c r="K165" s="24" t="n">
        <f aca="false">IF(H165&gt;=TotalStations,0,IF(B165="Dédié",MIN(FLOOR(420/J165,1),(TotalStations-H165)),MIN(2,(TotalStations-H165))))</f>
        <v>1</v>
      </c>
      <c r="L165" s="24" t="n">
        <f aca="false">H165+K165</f>
        <v>199</v>
      </c>
      <c r="M165" s="24" t="n">
        <f aca="false">Q164</f>
        <v>199</v>
      </c>
      <c r="N165" s="24" t="str">
        <f aca="false">IF(M165&gt;=TotalStations,"Terminé",INDEX($A$10:$A$25,MATCH(SUMPRODUCT(($A$10:$A$25&lt;&gt;"")*($D$10:$D$25&lt;=M165))+1,$E$10:$E$25,0)))</f>
        <v>Terminé</v>
      </c>
      <c r="O165" s="24" t="str">
        <f aca="false">IF(M165&gt;=TotalStations,"",INDEX($C$10:$C$25,MATCH(SUMPRODUCT(($A$10:$A$25&lt;&gt;"")*($D$10:$D$25&lt;=M165))+1,$E$10:$E$25,0)))</f>
        <v/>
      </c>
      <c r="P165" s="24" t="n">
        <f aca="false">IF(M165&gt;=TotalStations,0,MIN(FLOOR(420/O165,1),(TotalStations-M165)))</f>
        <v>0</v>
      </c>
      <c r="Q165" s="24" t="n">
        <f aca="false">M165+P165</f>
        <v>199</v>
      </c>
    </row>
    <row r="166" customFormat="false" ht="15" hidden="false" customHeight="true" outlineLevel="0" collapsed="false">
      <c r="A166" s="37" t="n">
        <f aca="false">WORKDAY(A165,1)</f>
        <v>46405</v>
      </c>
      <c r="B166" s="24" t="str">
        <f aca="false">IF(COUNTIF($B$5:$F$5,A166)&gt;0,"Dédié","Normal")</f>
        <v>Normal</v>
      </c>
      <c r="C166" s="24" t="n">
        <f aca="false">G165</f>
        <v>102</v>
      </c>
      <c r="D166" s="24" t="str">
        <f aca="false">IF(C166&gt;=TotalStations,"Terminé",INDEX($A$10:$A$25,MATCH(SUMPRODUCT(($A$10:$A$25&lt;&gt;"")*($D$10:$D$25&lt;=C166))+1,$E$10:$E$25,0)))</f>
        <v>P2R</v>
      </c>
      <c r="E166" s="24" t="n">
        <f aca="false">IF(C166&gt;=TotalStations,"",INDEX($C$10:$C$25,MATCH(SUMPRODUCT(($A$10:$A$25&lt;&gt;"")*($D$10:$D$25&lt;=C166))+1,$E$10:$E$25,0)))</f>
        <v>90</v>
      </c>
      <c r="F166" s="24" t="n">
        <f aca="false">IF(C166&gt;=TotalStations,0,IF(B166="Dédié",MIN(FLOOR(420/E166,1),(TotalStations-C166)),MIN(1,(TotalStations-C166))))</f>
        <v>1</v>
      </c>
      <c r="G166" s="24" t="n">
        <f aca="false">C166+F166</f>
        <v>103</v>
      </c>
      <c r="H166" s="24" t="n">
        <f aca="false">L165</f>
        <v>199</v>
      </c>
      <c r="I166" s="24" t="str">
        <f aca="false">IF(H166&gt;=TotalStations,"Terminé",INDEX($A$10:$A$25,MATCH(SUMPRODUCT(($A$10:$A$25&lt;&gt;"")*($D$10:$D$25&lt;=H166))+1,$E$10:$E$25,0)))</f>
        <v>Terminé</v>
      </c>
      <c r="J166" s="24" t="str">
        <f aca="false">IF(H166&gt;=TotalStations,"",INDEX($C$10:$C$25,MATCH(SUMPRODUCT(($A$10:$A$25&lt;&gt;"")*($D$10:$D$25&lt;=H166))+1,$E$10:$E$25,0)))</f>
        <v/>
      </c>
      <c r="K166" s="24" t="n">
        <f aca="false">IF(H166&gt;=TotalStations,0,IF(B166="Dédié",MIN(FLOOR(420/J166,1),(TotalStations-H166)),MIN(2,(TotalStations-H166))))</f>
        <v>0</v>
      </c>
      <c r="L166" s="24" t="n">
        <f aca="false">H166+K166</f>
        <v>199</v>
      </c>
      <c r="M166" s="24" t="n">
        <f aca="false">Q165</f>
        <v>199</v>
      </c>
      <c r="N166" s="24" t="str">
        <f aca="false">IF(M166&gt;=TotalStations,"Terminé",INDEX($A$10:$A$25,MATCH(SUMPRODUCT(($A$10:$A$25&lt;&gt;"")*($D$10:$D$25&lt;=M166))+1,$E$10:$E$25,0)))</f>
        <v>Terminé</v>
      </c>
      <c r="O166" s="24" t="str">
        <f aca="false">IF(M166&gt;=TotalStations,"",INDEX($C$10:$C$25,MATCH(SUMPRODUCT(($A$10:$A$25&lt;&gt;"")*($D$10:$D$25&lt;=M166))+1,$E$10:$E$25,0)))</f>
        <v/>
      </c>
      <c r="P166" s="24" t="n">
        <f aca="false">IF(M166&gt;=TotalStations,0,MIN(FLOOR(420/O166,1),(TotalStations-M166)))</f>
        <v>0</v>
      </c>
      <c r="Q166" s="24" t="n">
        <f aca="false">M166+P166</f>
        <v>199</v>
      </c>
    </row>
    <row r="167" customFormat="false" ht="15" hidden="false" customHeight="true" outlineLevel="0" collapsed="false">
      <c r="A167" s="37" t="n">
        <f aca="false">WORKDAY(A166,1)</f>
        <v>46406</v>
      </c>
      <c r="B167" s="24" t="str">
        <f aca="false">IF(COUNTIF($B$5:$F$5,A167)&gt;0,"Dédié","Normal")</f>
        <v>Normal</v>
      </c>
      <c r="C167" s="24" t="n">
        <f aca="false">G166</f>
        <v>103</v>
      </c>
      <c r="D167" s="24" t="str">
        <f aca="false">IF(C167&gt;=TotalStations,"Terminé",INDEX($A$10:$A$25,MATCH(SUMPRODUCT(($A$10:$A$25&lt;&gt;"")*($D$10:$D$25&lt;=C167))+1,$E$10:$E$25,0)))</f>
        <v>P2R</v>
      </c>
      <c r="E167" s="24" t="n">
        <f aca="false">IF(C167&gt;=TotalStations,"",INDEX($C$10:$C$25,MATCH(SUMPRODUCT(($A$10:$A$25&lt;&gt;"")*($D$10:$D$25&lt;=C167))+1,$E$10:$E$25,0)))</f>
        <v>90</v>
      </c>
      <c r="F167" s="24" t="n">
        <f aca="false">IF(C167&gt;=TotalStations,0,IF(B167="Dédié",MIN(FLOOR(420/E167,1),(TotalStations-C167)),MIN(1,(TotalStations-C167))))</f>
        <v>1</v>
      </c>
      <c r="G167" s="24" t="n">
        <f aca="false">C167+F167</f>
        <v>104</v>
      </c>
      <c r="H167" s="24" t="n">
        <f aca="false">L166</f>
        <v>199</v>
      </c>
      <c r="I167" s="24" t="str">
        <f aca="false">IF(H167&gt;=TotalStations,"Terminé",INDEX($A$10:$A$25,MATCH(SUMPRODUCT(($A$10:$A$25&lt;&gt;"")*($D$10:$D$25&lt;=H167))+1,$E$10:$E$25,0)))</f>
        <v>Terminé</v>
      </c>
      <c r="J167" s="24" t="str">
        <f aca="false">IF(H167&gt;=TotalStations,"",INDEX($C$10:$C$25,MATCH(SUMPRODUCT(($A$10:$A$25&lt;&gt;"")*($D$10:$D$25&lt;=H167))+1,$E$10:$E$25,0)))</f>
        <v/>
      </c>
      <c r="K167" s="24" t="n">
        <f aca="false">IF(H167&gt;=TotalStations,0,IF(B167="Dédié",MIN(FLOOR(420/J167,1),(TotalStations-H167)),MIN(2,(TotalStations-H167))))</f>
        <v>0</v>
      </c>
      <c r="L167" s="24" t="n">
        <f aca="false">H167+K167</f>
        <v>199</v>
      </c>
      <c r="M167" s="24" t="n">
        <f aca="false">Q166</f>
        <v>199</v>
      </c>
      <c r="N167" s="24" t="str">
        <f aca="false">IF(M167&gt;=TotalStations,"Terminé",INDEX($A$10:$A$25,MATCH(SUMPRODUCT(($A$10:$A$25&lt;&gt;"")*($D$10:$D$25&lt;=M167))+1,$E$10:$E$25,0)))</f>
        <v>Terminé</v>
      </c>
      <c r="O167" s="24" t="str">
        <f aca="false">IF(M167&gt;=TotalStations,"",INDEX($C$10:$C$25,MATCH(SUMPRODUCT(($A$10:$A$25&lt;&gt;"")*($D$10:$D$25&lt;=M167))+1,$E$10:$E$25,0)))</f>
        <v/>
      </c>
      <c r="P167" s="24" t="n">
        <f aca="false">IF(M167&gt;=TotalStations,0,MIN(FLOOR(420/O167,1),(TotalStations-M167)))</f>
        <v>0</v>
      </c>
      <c r="Q167" s="24" t="n">
        <f aca="false">M167+P167</f>
        <v>199</v>
      </c>
    </row>
    <row r="168" customFormat="false" ht="15" hidden="false" customHeight="true" outlineLevel="0" collapsed="false">
      <c r="A168" s="37" t="n">
        <f aca="false">WORKDAY(A167,1)</f>
        <v>46407</v>
      </c>
      <c r="B168" s="24" t="str">
        <f aca="false">IF(COUNTIF($B$5:$F$5,A168)&gt;0,"Dédié","Normal")</f>
        <v>Normal</v>
      </c>
      <c r="C168" s="24" t="n">
        <f aca="false">G167</f>
        <v>104</v>
      </c>
      <c r="D168" s="24" t="str">
        <f aca="false">IF(C168&gt;=TotalStations,"Terminé",INDEX($A$10:$A$25,MATCH(SUMPRODUCT(($A$10:$A$25&lt;&gt;"")*($D$10:$D$25&lt;=C168))+1,$E$10:$E$25,0)))</f>
        <v>P2R</v>
      </c>
      <c r="E168" s="24" t="n">
        <f aca="false">IF(C168&gt;=TotalStations,"",INDEX($C$10:$C$25,MATCH(SUMPRODUCT(($A$10:$A$25&lt;&gt;"")*($D$10:$D$25&lt;=C168))+1,$E$10:$E$25,0)))</f>
        <v>90</v>
      </c>
      <c r="F168" s="24" t="n">
        <f aca="false">IF(C168&gt;=TotalStations,0,IF(B168="Dédié",MIN(FLOOR(420/E168,1),(TotalStations-C168)),MIN(1,(TotalStations-C168))))</f>
        <v>1</v>
      </c>
      <c r="G168" s="24" t="n">
        <f aca="false">C168+F168</f>
        <v>105</v>
      </c>
      <c r="H168" s="24" t="n">
        <f aca="false">L167</f>
        <v>199</v>
      </c>
      <c r="I168" s="24" t="str">
        <f aca="false">IF(H168&gt;=TotalStations,"Terminé",INDEX($A$10:$A$25,MATCH(SUMPRODUCT(($A$10:$A$25&lt;&gt;"")*($D$10:$D$25&lt;=H168))+1,$E$10:$E$25,0)))</f>
        <v>Terminé</v>
      </c>
      <c r="J168" s="24" t="str">
        <f aca="false">IF(H168&gt;=TotalStations,"",INDEX($C$10:$C$25,MATCH(SUMPRODUCT(($A$10:$A$25&lt;&gt;"")*($D$10:$D$25&lt;=H168))+1,$E$10:$E$25,0)))</f>
        <v/>
      </c>
      <c r="K168" s="24" t="n">
        <f aca="false">IF(H168&gt;=TotalStations,0,IF(B168="Dédié",MIN(FLOOR(420/J168,1),(TotalStations-H168)),MIN(2,(TotalStations-H168))))</f>
        <v>0</v>
      </c>
      <c r="L168" s="24" t="n">
        <f aca="false">H168+K168</f>
        <v>199</v>
      </c>
      <c r="M168" s="24" t="n">
        <f aca="false">Q167</f>
        <v>199</v>
      </c>
      <c r="N168" s="24" t="str">
        <f aca="false">IF(M168&gt;=TotalStations,"Terminé",INDEX($A$10:$A$25,MATCH(SUMPRODUCT(($A$10:$A$25&lt;&gt;"")*($D$10:$D$25&lt;=M168))+1,$E$10:$E$25,0)))</f>
        <v>Terminé</v>
      </c>
      <c r="O168" s="24" t="str">
        <f aca="false">IF(M168&gt;=TotalStations,"",INDEX($C$10:$C$25,MATCH(SUMPRODUCT(($A$10:$A$25&lt;&gt;"")*($D$10:$D$25&lt;=M168))+1,$E$10:$E$25,0)))</f>
        <v/>
      </c>
      <c r="P168" s="24" t="n">
        <f aca="false">IF(M168&gt;=TotalStations,0,MIN(FLOOR(420/O168,1),(TotalStations-M168)))</f>
        <v>0</v>
      </c>
      <c r="Q168" s="24" t="n">
        <f aca="false">M168+P168</f>
        <v>199</v>
      </c>
    </row>
    <row r="169" customFormat="false" ht="15" hidden="false" customHeight="true" outlineLevel="0" collapsed="false">
      <c r="A169" s="37" t="n">
        <f aca="false">WORKDAY(A168,1)</f>
        <v>46408</v>
      </c>
      <c r="B169" s="24" t="str">
        <f aca="false">IF(COUNTIF($B$5:$F$5,A169)&gt;0,"Dédié","Normal")</f>
        <v>Normal</v>
      </c>
      <c r="C169" s="24" t="n">
        <f aca="false">G168</f>
        <v>105</v>
      </c>
      <c r="D169" s="24" t="str">
        <f aca="false">IF(C169&gt;=TotalStations,"Terminé",INDEX($A$10:$A$25,MATCH(SUMPRODUCT(($A$10:$A$25&lt;&gt;"")*($D$10:$D$25&lt;=C169))+1,$E$10:$E$25,0)))</f>
        <v>P2R</v>
      </c>
      <c r="E169" s="24" t="n">
        <f aca="false">IF(C169&gt;=TotalStations,"",INDEX($C$10:$C$25,MATCH(SUMPRODUCT(($A$10:$A$25&lt;&gt;"")*($D$10:$D$25&lt;=C169))+1,$E$10:$E$25,0)))</f>
        <v>90</v>
      </c>
      <c r="F169" s="24" t="n">
        <f aca="false">IF(C169&gt;=TotalStations,0,IF(B169="Dédié",MIN(FLOOR(420/E169,1),(TotalStations-C169)),MIN(1,(TotalStations-C169))))</f>
        <v>1</v>
      </c>
      <c r="G169" s="24" t="n">
        <f aca="false">C169+F169</f>
        <v>106</v>
      </c>
      <c r="H169" s="24" t="n">
        <f aca="false">L168</f>
        <v>199</v>
      </c>
      <c r="I169" s="24" t="str">
        <f aca="false">IF(H169&gt;=TotalStations,"Terminé",INDEX($A$10:$A$25,MATCH(SUMPRODUCT(($A$10:$A$25&lt;&gt;"")*($D$10:$D$25&lt;=H169))+1,$E$10:$E$25,0)))</f>
        <v>Terminé</v>
      </c>
      <c r="J169" s="24" t="str">
        <f aca="false">IF(H169&gt;=TotalStations,"",INDEX($C$10:$C$25,MATCH(SUMPRODUCT(($A$10:$A$25&lt;&gt;"")*($D$10:$D$25&lt;=H169))+1,$E$10:$E$25,0)))</f>
        <v/>
      </c>
      <c r="K169" s="24" t="n">
        <f aca="false">IF(H169&gt;=TotalStations,0,IF(B169="Dédié",MIN(FLOOR(420/J169,1),(TotalStations-H169)),MIN(2,(TotalStations-H169))))</f>
        <v>0</v>
      </c>
      <c r="L169" s="24" t="n">
        <f aca="false">H169+K169</f>
        <v>199</v>
      </c>
      <c r="M169" s="24" t="n">
        <f aca="false">Q168</f>
        <v>199</v>
      </c>
      <c r="N169" s="24" t="str">
        <f aca="false">IF(M169&gt;=TotalStations,"Terminé",INDEX($A$10:$A$25,MATCH(SUMPRODUCT(($A$10:$A$25&lt;&gt;"")*($D$10:$D$25&lt;=M169))+1,$E$10:$E$25,0)))</f>
        <v>Terminé</v>
      </c>
      <c r="O169" s="24" t="str">
        <f aca="false">IF(M169&gt;=TotalStations,"",INDEX($C$10:$C$25,MATCH(SUMPRODUCT(($A$10:$A$25&lt;&gt;"")*($D$10:$D$25&lt;=M169))+1,$E$10:$E$25,0)))</f>
        <v/>
      </c>
      <c r="P169" s="24" t="n">
        <f aca="false">IF(M169&gt;=TotalStations,0,MIN(FLOOR(420/O169,1),(TotalStations-M169)))</f>
        <v>0</v>
      </c>
      <c r="Q169" s="24" t="n">
        <f aca="false">M169+P169</f>
        <v>199</v>
      </c>
    </row>
    <row r="170" customFormat="false" ht="15" hidden="false" customHeight="true" outlineLevel="0" collapsed="false">
      <c r="A170" s="37" t="n">
        <f aca="false">WORKDAY(A169,1)</f>
        <v>46409</v>
      </c>
      <c r="B170" s="24" t="str">
        <f aca="false">IF(COUNTIF($B$5:$F$5,A170)&gt;0,"Dédié","Normal")</f>
        <v>Normal</v>
      </c>
      <c r="C170" s="24" t="n">
        <f aca="false">G169</f>
        <v>106</v>
      </c>
      <c r="D170" s="24" t="str">
        <f aca="false">IF(C170&gt;=TotalStations,"Terminé",INDEX($A$10:$A$25,MATCH(SUMPRODUCT(($A$10:$A$25&lt;&gt;"")*($D$10:$D$25&lt;=C170))+1,$E$10:$E$25,0)))</f>
        <v>P2R</v>
      </c>
      <c r="E170" s="24" t="n">
        <f aca="false">IF(C170&gt;=TotalStations,"",INDEX($C$10:$C$25,MATCH(SUMPRODUCT(($A$10:$A$25&lt;&gt;"")*($D$10:$D$25&lt;=C170))+1,$E$10:$E$25,0)))</f>
        <v>90</v>
      </c>
      <c r="F170" s="24" t="n">
        <f aca="false">IF(C170&gt;=TotalStations,0,IF(B170="Dédié",MIN(FLOOR(420/E170,1),(TotalStations-C170)),MIN(1,(TotalStations-C170))))</f>
        <v>1</v>
      </c>
      <c r="G170" s="24" t="n">
        <f aca="false">C170+F170</f>
        <v>107</v>
      </c>
      <c r="H170" s="24" t="n">
        <f aca="false">L169</f>
        <v>199</v>
      </c>
      <c r="I170" s="24" t="str">
        <f aca="false">IF(H170&gt;=TotalStations,"Terminé",INDEX($A$10:$A$25,MATCH(SUMPRODUCT(($A$10:$A$25&lt;&gt;"")*($D$10:$D$25&lt;=H170))+1,$E$10:$E$25,0)))</f>
        <v>Terminé</v>
      </c>
      <c r="J170" s="24" t="str">
        <f aca="false">IF(H170&gt;=TotalStations,"",INDEX($C$10:$C$25,MATCH(SUMPRODUCT(($A$10:$A$25&lt;&gt;"")*($D$10:$D$25&lt;=H170))+1,$E$10:$E$25,0)))</f>
        <v/>
      </c>
      <c r="K170" s="24" t="n">
        <f aca="false">IF(H170&gt;=TotalStations,0,IF(B170="Dédié",MIN(FLOOR(420/J170,1),(TotalStations-H170)),MIN(2,(TotalStations-H170))))</f>
        <v>0</v>
      </c>
      <c r="L170" s="24" t="n">
        <f aca="false">H170+K170</f>
        <v>199</v>
      </c>
      <c r="M170" s="24" t="n">
        <f aca="false">Q169</f>
        <v>199</v>
      </c>
      <c r="N170" s="24" t="str">
        <f aca="false">IF(M170&gt;=TotalStations,"Terminé",INDEX($A$10:$A$25,MATCH(SUMPRODUCT(($A$10:$A$25&lt;&gt;"")*($D$10:$D$25&lt;=M170))+1,$E$10:$E$25,0)))</f>
        <v>Terminé</v>
      </c>
      <c r="O170" s="24" t="str">
        <f aca="false">IF(M170&gt;=TotalStations,"",INDEX($C$10:$C$25,MATCH(SUMPRODUCT(($A$10:$A$25&lt;&gt;"")*($D$10:$D$25&lt;=M170))+1,$E$10:$E$25,0)))</f>
        <v/>
      </c>
      <c r="P170" s="24" t="n">
        <f aca="false">IF(M170&gt;=TotalStations,0,MIN(FLOOR(420/O170,1),(TotalStations-M170)))</f>
        <v>0</v>
      </c>
      <c r="Q170" s="24" t="n">
        <f aca="false">M170+P170</f>
        <v>199</v>
      </c>
    </row>
    <row r="171" customFormat="false" ht="15" hidden="false" customHeight="true" outlineLevel="0" collapsed="false">
      <c r="A171" s="37" t="n">
        <f aca="false">WORKDAY(A170,1)</f>
        <v>46412</v>
      </c>
      <c r="B171" s="24" t="str">
        <f aca="false">IF(COUNTIF($B$5:$F$5,A171)&gt;0,"Dédié","Normal")</f>
        <v>Normal</v>
      </c>
      <c r="C171" s="24" t="n">
        <f aca="false">G170</f>
        <v>107</v>
      </c>
      <c r="D171" s="24" t="str">
        <f aca="false">IF(C171&gt;=TotalStations,"Terminé",INDEX($A$10:$A$25,MATCH(SUMPRODUCT(($A$10:$A$25&lt;&gt;"")*($D$10:$D$25&lt;=C171))+1,$E$10:$E$25,0)))</f>
        <v>P2R</v>
      </c>
      <c r="E171" s="24" t="n">
        <f aca="false">IF(C171&gt;=TotalStations,"",INDEX($C$10:$C$25,MATCH(SUMPRODUCT(($A$10:$A$25&lt;&gt;"")*($D$10:$D$25&lt;=C171))+1,$E$10:$E$25,0)))</f>
        <v>90</v>
      </c>
      <c r="F171" s="24" t="n">
        <f aca="false">IF(C171&gt;=TotalStations,0,IF(B171="Dédié",MIN(FLOOR(420/E171,1),(TotalStations-C171)),MIN(1,(TotalStations-C171))))</f>
        <v>1</v>
      </c>
      <c r="G171" s="24" t="n">
        <f aca="false">C171+F171</f>
        <v>108</v>
      </c>
      <c r="H171" s="24" t="n">
        <f aca="false">L170</f>
        <v>199</v>
      </c>
      <c r="I171" s="24" t="str">
        <f aca="false">IF(H171&gt;=TotalStations,"Terminé",INDEX($A$10:$A$25,MATCH(SUMPRODUCT(($A$10:$A$25&lt;&gt;"")*($D$10:$D$25&lt;=H171))+1,$E$10:$E$25,0)))</f>
        <v>Terminé</v>
      </c>
      <c r="J171" s="24" t="str">
        <f aca="false">IF(H171&gt;=TotalStations,"",INDEX($C$10:$C$25,MATCH(SUMPRODUCT(($A$10:$A$25&lt;&gt;"")*($D$10:$D$25&lt;=H171))+1,$E$10:$E$25,0)))</f>
        <v/>
      </c>
      <c r="K171" s="24" t="n">
        <f aca="false">IF(H171&gt;=TotalStations,0,IF(B171="Dédié",MIN(FLOOR(420/J171,1),(TotalStations-H171)),MIN(2,(TotalStations-H171))))</f>
        <v>0</v>
      </c>
      <c r="L171" s="24" t="n">
        <f aca="false">H171+K171</f>
        <v>199</v>
      </c>
      <c r="M171" s="24" t="n">
        <f aca="false">Q170</f>
        <v>199</v>
      </c>
      <c r="N171" s="24" t="str">
        <f aca="false">IF(M171&gt;=TotalStations,"Terminé",INDEX($A$10:$A$25,MATCH(SUMPRODUCT(($A$10:$A$25&lt;&gt;"")*($D$10:$D$25&lt;=M171))+1,$E$10:$E$25,0)))</f>
        <v>Terminé</v>
      </c>
      <c r="O171" s="24" t="str">
        <f aca="false">IF(M171&gt;=TotalStations,"",INDEX($C$10:$C$25,MATCH(SUMPRODUCT(($A$10:$A$25&lt;&gt;"")*($D$10:$D$25&lt;=M171))+1,$E$10:$E$25,0)))</f>
        <v/>
      </c>
      <c r="P171" s="24" t="n">
        <f aca="false">IF(M171&gt;=TotalStations,0,MIN(FLOOR(420/O171,1),(TotalStations-M171)))</f>
        <v>0</v>
      </c>
      <c r="Q171" s="24" t="n">
        <f aca="false">M171+P171</f>
        <v>199</v>
      </c>
    </row>
    <row r="172" customFormat="false" ht="15" hidden="false" customHeight="true" outlineLevel="0" collapsed="false">
      <c r="A172" s="37" t="n">
        <f aca="false">WORKDAY(A171,1)</f>
        <v>46413</v>
      </c>
      <c r="B172" s="24" t="str">
        <f aca="false">IF(COUNTIF($B$5:$F$5,A172)&gt;0,"Dédié","Normal")</f>
        <v>Normal</v>
      </c>
      <c r="C172" s="24" t="n">
        <f aca="false">G171</f>
        <v>108</v>
      </c>
      <c r="D172" s="24" t="str">
        <f aca="false">IF(C172&gt;=TotalStations,"Terminé",INDEX($A$10:$A$25,MATCH(SUMPRODUCT(($A$10:$A$25&lt;&gt;"")*($D$10:$D$25&lt;=C172))+1,$E$10:$E$25,0)))</f>
        <v>P2R</v>
      </c>
      <c r="E172" s="24" t="n">
        <f aca="false">IF(C172&gt;=TotalStations,"",INDEX($C$10:$C$25,MATCH(SUMPRODUCT(($A$10:$A$25&lt;&gt;"")*($D$10:$D$25&lt;=C172))+1,$E$10:$E$25,0)))</f>
        <v>90</v>
      </c>
      <c r="F172" s="24" t="n">
        <f aca="false">IF(C172&gt;=TotalStations,0,IF(B172="Dédié",MIN(FLOOR(420/E172,1),(TotalStations-C172)),MIN(1,(TotalStations-C172))))</f>
        <v>1</v>
      </c>
      <c r="G172" s="24" t="n">
        <f aca="false">C172+F172</f>
        <v>109</v>
      </c>
      <c r="H172" s="24" t="n">
        <f aca="false">L171</f>
        <v>199</v>
      </c>
      <c r="I172" s="24" t="str">
        <f aca="false">IF(H172&gt;=TotalStations,"Terminé",INDEX($A$10:$A$25,MATCH(SUMPRODUCT(($A$10:$A$25&lt;&gt;"")*($D$10:$D$25&lt;=H172))+1,$E$10:$E$25,0)))</f>
        <v>Terminé</v>
      </c>
      <c r="J172" s="24" t="str">
        <f aca="false">IF(H172&gt;=TotalStations,"",INDEX($C$10:$C$25,MATCH(SUMPRODUCT(($A$10:$A$25&lt;&gt;"")*($D$10:$D$25&lt;=H172))+1,$E$10:$E$25,0)))</f>
        <v/>
      </c>
      <c r="K172" s="24" t="n">
        <f aca="false">IF(H172&gt;=TotalStations,0,IF(B172="Dédié",MIN(FLOOR(420/J172,1),(TotalStations-H172)),MIN(2,(TotalStations-H172))))</f>
        <v>0</v>
      </c>
      <c r="L172" s="24" t="n">
        <f aca="false">H172+K172</f>
        <v>199</v>
      </c>
      <c r="M172" s="24" t="n">
        <f aca="false">Q171</f>
        <v>199</v>
      </c>
      <c r="N172" s="24" t="str">
        <f aca="false">IF(M172&gt;=TotalStations,"Terminé",INDEX($A$10:$A$25,MATCH(SUMPRODUCT(($A$10:$A$25&lt;&gt;"")*($D$10:$D$25&lt;=M172))+1,$E$10:$E$25,0)))</f>
        <v>Terminé</v>
      </c>
      <c r="O172" s="24" t="str">
        <f aca="false">IF(M172&gt;=TotalStations,"",INDEX($C$10:$C$25,MATCH(SUMPRODUCT(($A$10:$A$25&lt;&gt;"")*($D$10:$D$25&lt;=M172))+1,$E$10:$E$25,0)))</f>
        <v/>
      </c>
      <c r="P172" s="24" t="n">
        <f aca="false">IF(M172&gt;=TotalStations,0,MIN(FLOOR(420/O172,1),(TotalStations-M172)))</f>
        <v>0</v>
      </c>
      <c r="Q172" s="24" t="n">
        <f aca="false">M172+P172</f>
        <v>199</v>
      </c>
    </row>
    <row r="173" customFormat="false" ht="15" hidden="false" customHeight="true" outlineLevel="0" collapsed="false">
      <c r="A173" s="37" t="n">
        <f aca="false">WORKDAY(A172,1)</f>
        <v>46414</v>
      </c>
      <c r="B173" s="24" t="str">
        <f aca="false">IF(COUNTIF($B$5:$F$5,A173)&gt;0,"Dédié","Normal")</f>
        <v>Normal</v>
      </c>
      <c r="C173" s="24" t="n">
        <f aca="false">G172</f>
        <v>109</v>
      </c>
      <c r="D173" s="24" t="str">
        <f aca="false">IF(C173&gt;=TotalStations,"Terminé",INDEX($A$10:$A$25,MATCH(SUMPRODUCT(($A$10:$A$25&lt;&gt;"")*($D$10:$D$25&lt;=C173))+1,$E$10:$E$25,0)))</f>
        <v>P2R</v>
      </c>
      <c r="E173" s="24" t="n">
        <f aca="false">IF(C173&gt;=TotalStations,"",INDEX($C$10:$C$25,MATCH(SUMPRODUCT(($A$10:$A$25&lt;&gt;"")*($D$10:$D$25&lt;=C173))+1,$E$10:$E$25,0)))</f>
        <v>90</v>
      </c>
      <c r="F173" s="24" t="n">
        <f aca="false">IF(C173&gt;=TotalStations,0,IF(B173="Dédié",MIN(FLOOR(420/E173,1),(TotalStations-C173)),MIN(1,(TotalStations-C173))))</f>
        <v>1</v>
      </c>
      <c r="G173" s="24" t="n">
        <f aca="false">C173+F173</f>
        <v>110</v>
      </c>
      <c r="H173" s="24" t="n">
        <f aca="false">L172</f>
        <v>199</v>
      </c>
      <c r="I173" s="24" t="str">
        <f aca="false">IF(H173&gt;=TotalStations,"Terminé",INDEX($A$10:$A$25,MATCH(SUMPRODUCT(($A$10:$A$25&lt;&gt;"")*($D$10:$D$25&lt;=H173))+1,$E$10:$E$25,0)))</f>
        <v>Terminé</v>
      </c>
      <c r="J173" s="24" t="str">
        <f aca="false">IF(H173&gt;=TotalStations,"",INDEX($C$10:$C$25,MATCH(SUMPRODUCT(($A$10:$A$25&lt;&gt;"")*($D$10:$D$25&lt;=H173))+1,$E$10:$E$25,0)))</f>
        <v/>
      </c>
      <c r="K173" s="24" t="n">
        <f aca="false">IF(H173&gt;=TotalStations,0,IF(B173="Dédié",MIN(FLOOR(420/J173,1),(TotalStations-H173)),MIN(2,(TotalStations-H173))))</f>
        <v>0</v>
      </c>
      <c r="L173" s="24" t="n">
        <f aca="false">H173+K173</f>
        <v>199</v>
      </c>
      <c r="M173" s="24" t="n">
        <f aca="false">Q172</f>
        <v>199</v>
      </c>
      <c r="N173" s="24" t="str">
        <f aca="false">IF(M173&gt;=TotalStations,"Terminé",INDEX($A$10:$A$25,MATCH(SUMPRODUCT(($A$10:$A$25&lt;&gt;"")*($D$10:$D$25&lt;=M173))+1,$E$10:$E$25,0)))</f>
        <v>Terminé</v>
      </c>
      <c r="O173" s="24" t="str">
        <f aca="false">IF(M173&gt;=TotalStations,"",INDEX($C$10:$C$25,MATCH(SUMPRODUCT(($A$10:$A$25&lt;&gt;"")*($D$10:$D$25&lt;=M173))+1,$E$10:$E$25,0)))</f>
        <v/>
      </c>
      <c r="P173" s="24" t="n">
        <f aca="false">IF(M173&gt;=TotalStations,0,MIN(FLOOR(420/O173,1),(TotalStations-M173)))</f>
        <v>0</v>
      </c>
      <c r="Q173" s="24" t="n">
        <f aca="false">M173+P173</f>
        <v>199</v>
      </c>
    </row>
    <row r="174" customFormat="false" ht="15" hidden="false" customHeight="true" outlineLevel="0" collapsed="false">
      <c r="A174" s="37" t="n">
        <f aca="false">WORKDAY(A173,1)</f>
        <v>46415</v>
      </c>
      <c r="B174" s="24" t="str">
        <f aca="false">IF(COUNTIF($B$5:$F$5,A174)&gt;0,"Dédié","Normal")</f>
        <v>Normal</v>
      </c>
      <c r="C174" s="24" t="n">
        <f aca="false">G173</f>
        <v>110</v>
      </c>
      <c r="D174" s="24" t="str">
        <f aca="false">IF(C174&gt;=TotalStations,"Terminé",INDEX($A$10:$A$25,MATCH(SUMPRODUCT(($A$10:$A$25&lt;&gt;"")*($D$10:$D$25&lt;=C174))+1,$E$10:$E$25,0)))</f>
        <v>P2R</v>
      </c>
      <c r="E174" s="24" t="n">
        <f aca="false">IF(C174&gt;=TotalStations,"",INDEX($C$10:$C$25,MATCH(SUMPRODUCT(($A$10:$A$25&lt;&gt;"")*($D$10:$D$25&lt;=C174))+1,$E$10:$E$25,0)))</f>
        <v>90</v>
      </c>
      <c r="F174" s="24" t="n">
        <f aca="false">IF(C174&gt;=TotalStations,0,IF(B174="Dédié",MIN(FLOOR(420/E174,1),(TotalStations-C174)),MIN(1,(TotalStations-C174))))</f>
        <v>1</v>
      </c>
      <c r="G174" s="24" t="n">
        <f aca="false">C174+F174</f>
        <v>111</v>
      </c>
      <c r="H174" s="24" t="n">
        <f aca="false">L173</f>
        <v>199</v>
      </c>
      <c r="I174" s="24" t="str">
        <f aca="false">IF(H174&gt;=TotalStations,"Terminé",INDEX($A$10:$A$25,MATCH(SUMPRODUCT(($A$10:$A$25&lt;&gt;"")*($D$10:$D$25&lt;=H174))+1,$E$10:$E$25,0)))</f>
        <v>Terminé</v>
      </c>
      <c r="J174" s="24" t="str">
        <f aca="false">IF(H174&gt;=TotalStations,"",INDEX($C$10:$C$25,MATCH(SUMPRODUCT(($A$10:$A$25&lt;&gt;"")*($D$10:$D$25&lt;=H174))+1,$E$10:$E$25,0)))</f>
        <v/>
      </c>
      <c r="K174" s="24" t="n">
        <f aca="false">IF(H174&gt;=TotalStations,0,IF(B174="Dédié",MIN(FLOOR(420/J174,1),(TotalStations-H174)),MIN(2,(TotalStations-H174))))</f>
        <v>0</v>
      </c>
      <c r="L174" s="24" t="n">
        <f aca="false">H174+K174</f>
        <v>199</v>
      </c>
      <c r="M174" s="24" t="n">
        <f aca="false">Q173</f>
        <v>199</v>
      </c>
      <c r="N174" s="24" t="str">
        <f aca="false">IF(M174&gt;=TotalStations,"Terminé",INDEX($A$10:$A$25,MATCH(SUMPRODUCT(($A$10:$A$25&lt;&gt;"")*($D$10:$D$25&lt;=M174))+1,$E$10:$E$25,0)))</f>
        <v>Terminé</v>
      </c>
      <c r="O174" s="24" t="str">
        <f aca="false">IF(M174&gt;=TotalStations,"",INDEX($C$10:$C$25,MATCH(SUMPRODUCT(($A$10:$A$25&lt;&gt;"")*($D$10:$D$25&lt;=M174))+1,$E$10:$E$25,0)))</f>
        <v/>
      </c>
      <c r="P174" s="24" t="n">
        <f aca="false">IF(M174&gt;=TotalStations,0,MIN(FLOOR(420/O174,1),(TotalStations-M174)))</f>
        <v>0</v>
      </c>
      <c r="Q174" s="24" t="n">
        <f aca="false">M174+P174</f>
        <v>199</v>
      </c>
    </row>
    <row r="175" customFormat="false" ht="15" hidden="false" customHeight="true" outlineLevel="0" collapsed="false">
      <c r="A175" s="37" t="n">
        <f aca="false">WORKDAY(A174,1)</f>
        <v>46416</v>
      </c>
      <c r="B175" s="24" t="str">
        <f aca="false">IF(COUNTIF($B$5:$F$5,A175)&gt;0,"Dédié","Normal")</f>
        <v>Normal</v>
      </c>
      <c r="C175" s="24" t="n">
        <f aca="false">G174</f>
        <v>111</v>
      </c>
      <c r="D175" s="24" t="str">
        <f aca="false">IF(C175&gt;=TotalStations,"Terminé",INDEX($A$10:$A$25,MATCH(SUMPRODUCT(($A$10:$A$25&lt;&gt;"")*($D$10:$D$25&lt;=C175))+1,$E$10:$E$25,0)))</f>
        <v>P2R</v>
      </c>
      <c r="E175" s="24" t="n">
        <f aca="false">IF(C175&gt;=TotalStations,"",INDEX($C$10:$C$25,MATCH(SUMPRODUCT(($A$10:$A$25&lt;&gt;"")*($D$10:$D$25&lt;=C175))+1,$E$10:$E$25,0)))</f>
        <v>90</v>
      </c>
      <c r="F175" s="24" t="n">
        <f aca="false">IF(C175&gt;=TotalStations,0,IF(B175="Dédié",MIN(FLOOR(420/E175,1),(TotalStations-C175)),MIN(1,(TotalStations-C175))))</f>
        <v>1</v>
      </c>
      <c r="G175" s="24" t="n">
        <f aca="false">C175+F175</f>
        <v>112</v>
      </c>
      <c r="H175" s="24" t="n">
        <f aca="false">L174</f>
        <v>199</v>
      </c>
      <c r="I175" s="24" t="str">
        <f aca="false">IF(H175&gt;=TotalStations,"Terminé",INDEX($A$10:$A$25,MATCH(SUMPRODUCT(($A$10:$A$25&lt;&gt;"")*($D$10:$D$25&lt;=H175))+1,$E$10:$E$25,0)))</f>
        <v>Terminé</v>
      </c>
      <c r="J175" s="24" t="str">
        <f aca="false">IF(H175&gt;=TotalStations,"",INDEX($C$10:$C$25,MATCH(SUMPRODUCT(($A$10:$A$25&lt;&gt;"")*($D$10:$D$25&lt;=H175))+1,$E$10:$E$25,0)))</f>
        <v/>
      </c>
      <c r="K175" s="24" t="n">
        <f aca="false">IF(H175&gt;=TotalStations,0,IF(B175="Dédié",MIN(FLOOR(420/J175,1),(TotalStations-H175)),MIN(2,(TotalStations-H175))))</f>
        <v>0</v>
      </c>
      <c r="L175" s="24" t="n">
        <f aca="false">H175+K175</f>
        <v>199</v>
      </c>
      <c r="M175" s="24" t="n">
        <f aca="false">Q174</f>
        <v>199</v>
      </c>
      <c r="N175" s="24" t="str">
        <f aca="false">IF(M175&gt;=TotalStations,"Terminé",INDEX($A$10:$A$25,MATCH(SUMPRODUCT(($A$10:$A$25&lt;&gt;"")*($D$10:$D$25&lt;=M175))+1,$E$10:$E$25,0)))</f>
        <v>Terminé</v>
      </c>
      <c r="O175" s="24" t="str">
        <f aca="false">IF(M175&gt;=TotalStations,"",INDEX($C$10:$C$25,MATCH(SUMPRODUCT(($A$10:$A$25&lt;&gt;"")*($D$10:$D$25&lt;=M175))+1,$E$10:$E$25,0)))</f>
        <v/>
      </c>
      <c r="P175" s="24" t="n">
        <f aca="false">IF(M175&gt;=TotalStations,0,MIN(FLOOR(420/O175,1),(TotalStations-M175)))</f>
        <v>0</v>
      </c>
      <c r="Q175" s="24" t="n">
        <f aca="false">M175+P175</f>
        <v>199</v>
      </c>
    </row>
    <row r="176" customFormat="false" ht="15" hidden="false" customHeight="true" outlineLevel="0" collapsed="false">
      <c r="A176" s="37" t="n">
        <f aca="false">WORKDAY(A175,1)</f>
        <v>46419</v>
      </c>
      <c r="B176" s="24" t="str">
        <f aca="false">IF(COUNTIF($B$5:$F$5,A176)&gt;0,"Dédié","Normal")</f>
        <v>Normal</v>
      </c>
      <c r="C176" s="24" t="n">
        <f aca="false">G175</f>
        <v>112</v>
      </c>
      <c r="D176" s="24" t="str">
        <f aca="false">IF(C176&gt;=TotalStations,"Terminé",INDEX($A$10:$A$25,MATCH(SUMPRODUCT(($A$10:$A$25&lt;&gt;"")*($D$10:$D$25&lt;=C176))+1,$E$10:$E$25,0)))</f>
        <v>P2R</v>
      </c>
      <c r="E176" s="24" t="n">
        <f aca="false">IF(C176&gt;=TotalStations,"",INDEX($C$10:$C$25,MATCH(SUMPRODUCT(($A$10:$A$25&lt;&gt;"")*($D$10:$D$25&lt;=C176))+1,$E$10:$E$25,0)))</f>
        <v>90</v>
      </c>
      <c r="F176" s="24" t="n">
        <f aca="false">IF(C176&gt;=TotalStations,0,IF(B176="Dédié",MIN(FLOOR(420/E176,1),(TotalStations-C176)),MIN(1,(TotalStations-C176))))</f>
        <v>1</v>
      </c>
      <c r="G176" s="24" t="n">
        <f aca="false">C176+F176</f>
        <v>113</v>
      </c>
      <c r="H176" s="24" t="n">
        <f aca="false">L175</f>
        <v>199</v>
      </c>
      <c r="I176" s="24" t="str">
        <f aca="false">IF(H176&gt;=TotalStations,"Terminé",INDEX($A$10:$A$25,MATCH(SUMPRODUCT(($A$10:$A$25&lt;&gt;"")*($D$10:$D$25&lt;=H176))+1,$E$10:$E$25,0)))</f>
        <v>Terminé</v>
      </c>
      <c r="J176" s="24" t="str">
        <f aca="false">IF(H176&gt;=TotalStations,"",INDEX($C$10:$C$25,MATCH(SUMPRODUCT(($A$10:$A$25&lt;&gt;"")*($D$10:$D$25&lt;=H176))+1,$E$10:$E$25,0)))</f>
        <v/>
      </c>
      <c r="K176" s="24" t="n">
        <f aca="false">IF(H176&gt;=TotalStations,0,IF(B176="Dédié",MIN(FLOOR(420/J176,1),(TotalStations-H176)),MIN(2,(TotalStations-H176))))</f>
        <v>0</v>
      </c>
      <c r="L176" s="24" t="n">
        <f aca="false">H176+K176</f>
        <v>199</v>
      </c>
      <c r="M176" s="24" t="n">
        <f aca="false">Q175</f>
        <v>199</v>
      </c>
      <c r="N176" s="24" t="str">
        <f aca="false">IF(M176&gt;=TotalStations,"Terminé",INDEX($A$10:$A$25,MATCH(SUMPRODUCT(($A$10:$A$25&lt;&gt;"")*($D$10:$D$25&lt;=M176))+1,$E$10:$E$25,0)))</f>
        <v>Terminé</v>
      </c>
      <c r="O176" s="24" t="str">
        <f aca="false">IF(M176&gt;=TotalStations,"",INDEX($C$10:$C$25,MATCH(SUMPRODUCT(($A$10:$A$25&lt;&gt;"")*($D$10:$D$25&lt;=M176))+1,$E$10:$E$25,0)))</f>
        <v/>
      </c>
      <c r="P176" s="24" t="n">
        <f aca="false">IF(M176&gt;=TotalStations,0,MIN(FLOOR(420/O176,1),(TotalStations-M176)))</f>
        <v>0</v>
      </c>
      <c r="Q176" s="24" t="n">
        <f aca="false">M176+P176</f>
        <v>199</v>
      </c>
    </row>
    <row r="177" customFormat="false" ht="15" hidden="false" customHeight="true" outlineLevel="0" collapsed="false">
      <c r="A177" s="37" t="n">
        <f aca="false">WORKDAY(A176,1)</f>
        <v>46420</v>
      </c>
      <c r="B177" s="24" t="str">
        <f aca="false">IF(COUNTIF($B$5:$F$5,A177)&gt;0,"Dédié","Normal")</f>
        <v>Normal</v>
      </c>
      <c r="C177" s="24" t="n">
        <f aca="false">G176</f>
        <v>113</v>
      </c>
      <c r="D177" s="24" t="str">
        <f aca="false">IF(C177&gt;=TotalStations,"Terminé",INDEX($A$10:$A$25,MATCH(SUMPRODUCT(($A$10:$A$25&lt;&gt;"")*($D$10:$D$25&lt;=C177))+1,$E$10:$E$25,0)))</f>
        <v>P2R</v>
      </c>
      <c r="E177" s="24" t="n">
        <f aca="false">IF(C177&gt;=TotalStations,"",INDEX($C$10:$C$25,MATCH(SUMPRODUCT(($A$10:$A$25&lt;&gt;"")*($D$10:$D$25&lt;=C177))+1,$E$10:$E$25,0)))</f>
        <v>90</v>
      </c>
      <c r="F177" s="24" t="n">
        <f aca="false">IF(C177&gt;=TotalStations,0,IF(B177="Dédié",MIN(FLOOR(420/E177,1),(TotalStations-C177)),MIN(1,(TotalStations-C177))))</f>
        <v>1</v>
      </c>
      <c r="G177" s="24" t="n">
        <f aca="false">C177+F177</f>
        <v>114</v>
      </c>
      <c r="H177" s="24" t="n">
        <f aca="false">L176</f>
        <v>199</v>
      </c>
      <c r="I177" s="24" t="str">
        <f aca="false">IF(H177&gt;=TotalStations,"Terminé",INDEX($A$10:$A$25,MATCH(SUMPRODUCT(($A$10:$A$25&lt;&gt;"")*($D$10:$D$25&lt;=H177))+1,$E$10:$E$25,0)))</f>
        <v>Terminé</v>
      </c>
      <c r="J177" s="24" t="str">
        <f aca="false">IF(H177&gt;=TotalStations,"",INDEX($C$10:$C$25,MATCH(SUMPRODUCT(($A$10:$A$25&lt;&gt;"")*($D$10:$D$25&lt;=H177))+1,$E$10:$E$25,0)))</f>
        <v/>
      </c>
      <c r="K177" s="24" t="n">
        <f aca="false">IF(H177&gt;=TotalStations,0,IF(B177="Dédié",MIN(FLOOR(420/J177,1),(TotalStations-H177)),MIN(2,(TotalStations-H177))))</f>
        <v>0</v>
      </c>
      <c r="L177" s="24" t="n">
        <f aca="false">H177+K177</f>
        <v>199</v>
      </c>
      <c r="M177" s="24" t="n">
        <f aca="false">Q176</f>
        <v>199</v>
      </c>
      <c r="N177" s="24" t="str">
        <f aca="false">IF(M177&gt;=TotalStations,"Terminé",INDEX($A$10:$A$25,MATCH(SUMPRODUCT(($A$10:$A$25&lt;&gt;"")*($D$10:$D$25&lt;=M177))+1,$E$10:$E$25,0)))</f>
        <v>Terminé</v>
      </c>
      <c r="O177" s="24" t="str">
        <f aca="false">IF(M177&gt;=TotalStations,"",INDEX($C$10:$C$25,MATCH(SUMPRODUCT(($A$10:$A$25&lt;&gt;"")*($D$10:$D$25&lt;=M177))+1,$E$10:$E$25,0)))</f>
        <v/>
      </c>
      <c r="P177" s="24" t="n">
        <f aca="false">IF(M177&gt;=TotalStations,0,MIN(FLOOR(420/O177,1),(TotalStations-M177)))</f>
        <v>0</v>
      </c>
      <c r="Q177" s="24" t="n">
        <f aca="false">M177+P177</f>
        <v>199</v>
      </c>
    </row>
    <row r="178" customFormat="false" ht="15" hidden="false" customHeight="true" outlineLevel="0" collapsed="false">
      <c r="A178" s="37" t="n">
        <f aca="false">WORKDAY(A177,1)</f>
        <v>46421</v>
      </c>
      <c r="B178" s="24" t="str">
        <f aca="false">IF(COUNTIF($B$5:$F$5,A178)&gt;0,"Dédié","Normal")</f>
        <v>Normal</v>
      </c>
      <c r="C178" s="24" t="n">
        <f aca="false">G177</f>
        <v>114</v>
      </c>
      <c r="D178" s="24" t="str">
        <f aca="false">IF(C178&gt;=TotalStations,"Terminé",INDEX($A$10:$A$25,MATCH(SUMPRODUCT(($A$10:$A$25&lt;&gt;"")*($D$10:$D$25&lt;=C178))+1,$E$10:$E$25,0)))</f>
        <v>P2R</v>
      </c>
      <c r="E178" s="24" t="n">
        <f aca="false">IF(C178&gt;=TotalStations,"",INDEX($C$10:$C$25,MATCH(SUMPRODUCT(($A$10:$A$25&lt;&gt;"")*($D$10:$D$25&lt;=C178))+1,$E$10:$E$25,0)))</f>
        <v>90</v>
      </c>
      <c r="F178" s="24" t="n">
        <f aca="false">IF(C178&gt;=TotalStations,0,IF(B178="Dédié",MIN(FLOOR(420/E178,1),(TotalStations-C178)),MIN(1,(TotalStations-C178))))</f>
        <v>1</v>
      </c>
      <c r="G178" s="24" t="n">
        <f aca="false">C178+F178</f>
        <v>115</v>
      </c>
      <c r="H178" s="24" t="n">
        <f aca="false">L177</f>
        <v>199</v>
      </c>
      <c r="I178" s="24" t="str">
        <f aca="false">IF(H178&gt;=TotalStations,"Terminé",INDEX($A$10:$A$25,MATCH(SUMPRODUCT(($A$10:$A$25&lt;&gt;"")*($D$10:$D$25&lt;=H178))+1,$E$10:$E$25,0)))</f>
        <v>Terminé</v>
      </c>
      <c r="J178" s="24" t="str">
        <f aca="false">IF(H178&gt;=TotalStations,"",INDEX($C$10:$C$25,MATCH(SUMPRODUCT(($A$10:$A$25&lt;&gt;"")*($D$10:$D$25&lt;=H178))+1,$E$10:$E$25,0)))</f>
        <v/>
      </c>
      <c r="K178" s="24" t="n">
        <f aca="false">IF(H178&gt;=TotalStations,0,IF(B178="Dédié",MIN(FLOOR(420/J178,1),(TotalStations-H178)),MIN(2,(TotalStations-H178))))</f>
        <v>0</v>
      </c>
      <c r="L178" s="24" t="n">
        <f aca="false">H178+K178</f>
        <v>199</v>
      </c>
      <c r="M178" s="24" t="n">
        <f aca="false">Q177</f>
        <v>199</v>
      </c>
      <c r="N178" s="24" t="str">
        <f aca="false">IF(M178&gt;=TotalStations,"Terminé",INDEX($A$10:$A$25,MATCH(SUMPRODUCT(($A$10:$A$25&lt;&gt;"")*($D$10:$D$25&lt;=M178))+1,$E$10:$E$25,0)))</f>
        <v>Terminé</v>
      </c>
      <c r="O178" s="24" t="str">
        <f aca="false">IF(M178&gt;=TotalStations,"",INDEX($C$10:$C$25,MATCH(SUMPRODUCT(($A$10:$A$25&lt;&gt;"")*($D$10:$D$25&lt;=M178))+1,$E$10:$E$25,0)))</f>
        <v/>
      </c>
      <c r="P178" s="24" t="n">
        <f aca="false">IF(M178&gt;=TotalStations,0,MIN(FLOOR(420/O178,1),(TotalStations-M178)))</f>
        <v>0</v>
      </c>
      <c r="Q178" s="24" t="n">
        <f aca="false">M178+P178</f>
        <v>199</v>
      </c>
    </row>
    <row r="179" customFormat="false" ht="15" hidden="false" customHeight="true" outlineLevel="0" collapsed="false">
      <c r="A179" s="37" t="n">
        <f aca="false">WORKDAY(A178,1)</f>
        <v>46422</v>
      </c>
      <c r="B179" s="24" t="str">
        <f aca="false">IF(COUNTIF($B$5:$F$5,A179)&gt;0,"Dédié","Normal")</f>
        <v>Normal</v>
      </c>
      <c r="C179" s="24" t="n">
        <f aca="false">G178</f>
        <v>115</v>
      </c>
      <c r="D179" s="24" t="str">
        <f aca="false">IF(C179&gt;=TotalStations,"Terminé",INDEX($A$10:$A$25,MATCH(SUMPRODUCT(($A$10:$A$25&lt;&gt;"")*($D$10:$D$25&lt;=C179))+1,$E$10:$E$25,0)))</f>
        <v>P2R</v>
      </c>
      <c r="E179" s="24" t="n">
        <f aca="false">IF(C179&gt;=TotalStations,"",INDEX($C$10:$C$25,MATCH(SUMPRODUCT(($A$10:$A$25&lt;&gt;"")*($D$10:$D$25&lt;=C179))+1,$E$10:$E$25,0)))</f>
        <v>90</v>
      </c>
      <c r="F179" s="24" t="n">
        <f aca="false">IF(C179&gt;=TotalStations,0,IF(B179="Dédié",MIN(FLOOR(420/E179,1),(TotalStations-C179)),MIN(1,(TotalStations-C179))))</f>
        <v>1</v>
      </c>
      <c r="G179" s="24" t="n">
        <f aca="false">C179+F179</f>
        <v>116</v>
      </c>
      <c r="H179" s="24" t="n">
        <f aca="false">L178</f>
        <v>199</v>
      </c>
      <c r="I179" s="24" t="str">
        <f aca="false">IF(H179&gt;=TotalStations,"Terminé",INDEX($A$10:$A$25,MATCH(SUMPRODUCT(($A$10:$A$25&lt;&gt;"")*($D$10:$D$25&lt;=H179))+1,$E$10:$E$25,0)))</f>
        <v>Terminé</v>
      </c>
      <c r="J179" s="24" t="str">
        <f aca="false">IF(H179&gt;=TotalStations,"",INDEX($C$10:$C$25,MATCH(SUMPRODUCT(($A$10:$A$25&lt;&gt;"")*($D$10:$D$25&lt;=H179))+1,$E$10:$E$25,0)))</f>
        <v/>
      </c>
      <c r="K179" s="24" t="n">
        <f aca="false">IF(H179&gt;=TotalStations,0,IF(B179="Dédié",MIN(FLOOR(420/J179,1),(TotalStations-H179)),MIN(2,(TotalStations-H179))))</f>
        <v>0</v>
      </c>
      <c r="L179" s="24" t="n">
        <f aca="false">H179+K179</f>
        <v>199</v>
      </c>
      <c r="M179" s="24" t="n">
        <f aca="false">Q178</f>
        <v>199</v>
      </c>
      <c r="N179" s="24" t="str">
        <f aca="false">IF(M179&gt;=TotalStations,"Terminé",INDEX($A$10:$A$25,MATCH(SUMPRODUCT(($A$10:$A$25&lt;&gt;"")*($D$10:$D$25&lt;=M179))+1,$E$10:$E$25,0)))</f>
        <v>Terminé</v>
      </c>
      <c r="O179" s="24" t="str">
        <f aca="false">IF(M179&gt;=TotalStations,"",INDEX($C$10:$C$25,MATCH(SUMPRODUCT(($A$10:$A$25&lt;&gt;"")*($D$10:$D$25&lt;=M179))+1,$E$10:$E$25,0)))</f>
        <v/>
      </c>
      <c r="P179" s="24" t="n">
        <f aca="false">IF(M179&gt;=TotalStations,0,MIN(FLOOR(420/O179,1),(TotalStations-M179)))</f>
        <v>0</v>
      </c>
      <c r="Q179" s="24" t="n">
        <f aca="false">M179+P179</f>
        <v>199</v>
      </c>
    </row>
    <row r="180" customFormat="false" ht="15" hidden="false" customHeight="true" outlineLevel="0" collapsed="false">
      <c r="A180" s="37" t="n">
        <f aca="false">WORKDAY(A179,1)</f>
        <v>46423</v>
      </c>
      <c r="B180" s="24" t="str">
        <f aca="false">IF(COUNTIF($B$5:$F$5,A180)&gt;0,"Dédié","Normal")</f>
        <v>Normal</v>
      </c>
      <c r="C180" s="24" t="n">
        <f aca="false">G179</f>
        <v>116</v>
      </c>
      <c r="D180" s="24" t="str">
        <f aca="false">IF(C180&gt;=TotalStations,"Terminé",INDEX($A$10:$A$25,MATCH(SUMPRODUCT(($A$10:$A$25&lt;&gt;"")*($D$10:$D$25&lt;=C180))+1,$E$10:$E$25,0)))</f>
        <v>P2R</v>
      </c>
      <c r="E180" s="24" t="n">
        <f aca="false">IF(C180&gt;=TotalStations,"",INDEX($C$10:$C$25,MATCH(SUMPRODUCT(($A$10:$A$25&lt;&gt;"")*($D$10:$D$25&lt;=C180))+1,$E$10:$E$25,0)))</f>
        <v>90</v>
      </c>
      <c r="F180" s="24" t="n">
        <f aca="false">IF(C180&gt;=TotalStations,0,IF(B180="Dédié",MIN(FLOOR(420/E180,1),(TotalStations-C180)),MIN(1,(TotalStations-C180))))</f>
        <v>1</v>
      </c>
      <c r="G180" s="24" t="n">
        <f aca="false">C180+F180</f>
        <v>117</v>
      </c>
      <c r="H180" s="24" t="n">
        <f aca="false">L179</f>
        <v>199</v>
      </c>
      <c r="I180" s="24" t="str">
        <f aca="false">IF(H180&gt;=TotalStations,"Terminé",INDEX($A$10:$A$25,MATCH(SUMPRODUCT(($A$10:$A$25&lt;&gt;"")*($D$10:$D$25&lt;=H180))+1,$E$10:$E$25,0)))</f>
        <v>Terminé</v>
      </c>
      <c r="J180" s="24" t="str">
        <f aca="false">IF(H180&gt;=TotalStations,"",INDEX($C$10:$C$25,MATCH(SUMPRODUCT(($A$10:$A$25&lt;&gt;"")*($D$10:$D$25&lt;=H180))+1,$E$10:$E$25,0)))</f>
        <v/>
      </c>
      <c r="K180" s="24" t="n">
        <f aca="false">IF(H180&gt;=TotalStations,0,IF(B180="Dédié",MIN(FLOOR(420/J180,1),(TotalStations-H180)),MIN(2,(TotalStations-H180))))</f>
        <v>0</v>
      </c>
      <c r="L180" s="24" t="n">
        <f aca="false">H180+K180</f>
        <v>199</v>
      </c>
      <c r="M180" s="24" t="n">
        <f aca="false">Q179</f>
        <v>199</v>
      </c>
      <c r="N180" s="24" t="str">
        <f aca="false">IF(M180&gt;=TotalStations,"Terminé",INDEX($A$10:$A$25,MATCH(SUMPRODUCT(($A$10:$A$25&lt;&gt;"")*($D$10:$D$25&lt;=M180))+1,$E$10:$E$25,0)))</f>
        <v>Terminé</v>
      </c>
      <c r="O180" s="24" t="str">
        <f aca="false">IF(M180&gt;=TotalStations,"",INDEX($C$10:$C$25,MATCH(SUMPRODUCT(($A$10:$A$25&lt;&gt;"")*($D$10:$D$25&lt;=M180))+1,$E$10:$E$25,0)))</f>
        <v/>
      </c>
      <c r="P180" s="24" t="n">
        <f aca="false">IF(M180&gt;=TotalStations,0,MIN(FLOOR(420/O180,1),(TotalStations-M180)))</f>
        <v>0</v>
      </c>
      <c r="Q180" s="24" t="n">
        <f aca="false">M180+P180</f>
        <v>199</v>
      </c>
    </row>
    <row r="181" customFormat="false" ht="15" hidden="false" customHeight="true" outlineLevel="0" collapsed="false">
      <c r="A181" s="37" t="n">
        <f aca="false">WORKDAY(A180,1)</f>
        <v>46426</v>
      </c>
      <c r="B181" s="24" t="str">
        <f aca="false">IF(COUNTIF($B$5:$F$5,A181)&gt;0,"Dédié","Normal")</f>
        <v>Normal</v>
      </c>
      <c r="C181" s="24" t="n">
        <f aca="false">G180</f>
        <v>117</v>
      </c>
      <c r="D181" s="24" t="str">
        <f aca="false">IF(C181&gt;=TotalStations,"Terminé",INDEX($A$10:$A$25,MATCH(SUMPRODUCT(($A$10:$A$25&lt;&gt;"")*($D$10:$D$25&lt;=C181))+1,$E$10:$E$25,0)))</f>
        <v>P2R</v>
      </c>
      <c r="E181" s="24" t="n">
        <f aca="false">IF(C181&gt;=TotalStations,"",INDEX($C$10:$C$25,MATCH(SUMPRODUCT(($A$10:$A$25&lt;&gt;"")*($D$10:$D$25&lt;=C181))+1,$E$10:$E$25,0)))</f>
        <v>90</v>
      </c>
      <c r="F181" s="24" t="n">
        <f aca="false">IF(C181&gt;=TotalStations,0,IF(B181="Dédié",MIN(FLOOR(420/E181,1),(TotalStations-C181)),MIN(1,(TotalStations-C181))))</f>
        <v>1</v>
      </c>
      <c r="G181" s="24" t="n">
        <f aca="false">C181+F181</f>
        <v>118</v>
      </c>
      <c r="H181" s="24" t="n">
        <f aca="false">L180</f>
        <v>199</v>
      </c>
      <c r="I181" s="24" t="str">
        <f aca="false">IF(H181&gt;=TotalStations,"Terminé",INDEX($A$10:$A$25,MATCH(SUMPRODUCT(($A$10:$A$25&lt;&gt;"")*($D$10:$D$25&lt;=H181))+1,$E$10:$E$25,0)))</f>
        <v>Terminé</v>
      </c>
      <c r="J181" s="24" t="str">
        <f aca="false">IF(H181&gt;=TotalStations,"",INDEX($C$10:$C$25,MATCH(SUMPRODUCT(($A$10:$A$25&lt;&gt;"")*($D$10:$D$25&lt;=H181))+1,$E$10:$E$25,0)))</f>
        <v/>
      </c>
      <c r="K181" s="24" t="n">
        <f aca="false">IF(H181&gt;=TotalStations,0,IF(B181="Dédié",MIN(FLOOR(420/J181,1),(TotalStations-H181)),MIN(2,(TotalStations-H181))))</f>
        <v>0</v>
      </c>
      <c r="L181" s="24" t="n">
        <f aca="false">H181+K181</f>
        <v>199</v>
      </c>
      <c r="M181" s="24" t="n">
        <f aca="false">Q180</f>
        <v>199</v>
      </c>
      <c r="N181" s="24" t="str">
        <f aca="false">IF(M181&gt;=TotalStations,"Terminé",INDEX($A$10:$A$25,MATCH(SUMPRODUCT(($A$10:$A$25&lt;&gt;"")*($D$10:$D$25&lt;=M181))+1,$E$10:$E$25,0)))</f>
        <v>Terminé</v>
      </c>
      <c r="O181" s="24" t="str">
        <f aca="false">IF(M181&gt;=TotalStations,"",INDEX($C$10:$C$25,MATCH(SUMPRODUCT(($A$10:$A$25&lt;&gt;"")*($D$10:$D$25&lt;=M181))+1,$E$10:$E$25,0)))</f>
        <v/>
      </c>
      <c r="P181" s="24" t="n">
        <f aca="false">IF(M181&gt;=TotalStations,0,MIN(FLOOR(420/O181,1),(TotalStations-M181)))</f>
        <v>0</v>
      </c>
      <c r="Q181" s="24" t="n">
        <f aca="false">M181+P181</f>
        <v>199</v>
      </c>
    </row>
    <row r="182" customFormat="false" ht="15" hidden="false" customHeight="true" outlineLevel="0" collapsed="false">
      <c r="A182" s="37" t="n">
        <f aca="false">WORKDAY(A181,1)</f>
        <v>46427</v>
      </c>
      <c r="B182" s="24" t="str">
        <f aca="false">IF(COUNTIF($B$5:$F$5,A182)&gt;0,"Dédié","Normal")</f>
        <v>Normal</v>
      </c>
      <c r="C182" s="24" t="n">
        <f aca="false">G181</f>
        <v>118</v>
      </c>
      <c r="D182" s="24" t="str">
        <f aca="false">IF(C182&gt;=TotalStations,"Terminé",INDEX($A$10:$A$25,MATCH(SUMPRODUCT(($A$10:$A$25&lt;&gt;"")*($D$10:$D$25&lt;=C182))+1,$E$10:$E$25,0)))</f>
        <v>P2R</v>
      </c>
      <c r="E182" s="24" t="n">
        <f aca="false">IF(C182&gt;=TotalStations,"",INDEX($C$10:$C$25,MATCH(SUMPRODUCT(($A$10:$A$25&lt;&gt;"")*($D$10:$D$25&lt;=C182))+1,$E$10:$E$25,0)))</f>
        <v>90</v>
      </c>
      <c r="F182" s="24" t="n">
        <f aca="false">IF(C182&gt;=TotalStations,0,IF(B182="Dédié",MIN(FLOOR(420/E182,1),(TotalStations-C182)),MIN(1,(TotalStations-C182))))</f>
        <v>1</v>
      </c>
      <c r="G182" s="24" t="n">
        <f aca="false">C182+F182</f>
        <v>119</v>
      </c>
      <c r="H182" s="24" t="n">
        <f aca="false">L181</f>
        <v>199</v>
      </c>
      <c r="I182" s="24" t="str">
        <f aca="false">IF(H182&gt;=TotalStations,"Terminé",INDEX($A$10:$A$25,MATCH(SUMPRODUCT(($A$10:$A$25&lt;&gt;"")*($D$10:$D$25&lt;=H182))+1,$E$10:$E$25,0)))</f>
        <v>Terminé</v>
      </c>
      <c r="J182" s="24" t="str">
        <f aca="false">IF(H182&gt;=TotalStations,"",INDEX($C$10:$C$25,MATCH(SUMPRODUCT(($A$10:$A$25&lt;&gt;"")*($D$10:$D$25&lt;=H182))+1,$E$10:$E$25,0)))</f>
        <v/>
      </c>
      <c r="K182" s="24" t="n">
        <f aca="false">IF(H182&gt;=TotalStations,0,IF(B182="Dédié",MIN(FLOOR(420/J182,1),(TotalStations-H182)),MIN(2,(TotalStations-H182))))</f>
        <v>0</v>
      </c>
      <c r="L182" s="24" t="n">
        <f aca="false">H182+K182</f>
        <v>199</v>
      </c>
      <c r="M182" s="24" t="n">
        <f aca="false">Q181</f>
        <v>199</v>
      </c>
      <c r="N182" s="24" t="str">
        <f aca="false">IF(M182&gt;=TotalStations,"Terminé",INDEX($A$10:$A$25,MATCH(SUMPRODUCT(($A$10:$A$25&lt;&gt;"")*($D$10:$D$25&lt;=M182))+1,$E$10:$E$25,0)))</f>
        <v>Terminé</v>
      </c>
      <c r="O182" s="24" t="str">
        <f aca="false">IF(M182&gt;=TotalStations,"",INDEX($C$10:$C$25,MATCH(SUMPRODUCT(($A$10:$A$25&lt;&gt;"")*($D$10:$D$25&lt;=M182))+1,$E$10:$E$25,0)))</f>
        <v/>
      </c>
      <c r="P182" s="24" t="n">
        <f aca="false">IF(M182&gt;=TotalStations,0,MIN(FLOOR(420/O182,1),(TotalStations-M182)))</f>
        <v>0</v>
      </c>
      <c r="Q182" s="24" t="n">
        <f aca="false">M182+P182</f>
        <v>199</v>
      </c>
    </row>
    <row r="183" customFormat="false" ht="15" hidden="false" customHeight="true" outlineLevel="0" collapsed="false">
      <c r="A183" s="37" t="n">
        <f aca="false">WORKDAY(A182,1)</f>
        <v>46428</v>
      </c>
      <c r="B183" s="24" t="str">
        <f aca="false">IF(COUNTIF($B$5:$F$5,A183)&gt;0,"Dédié","Normal")</f>
        <v>Normal</v>
      </c>
      <c r="C183" s="24" t="n">
        <f aca="false">G182</f>
        <v>119</v>
      </c>
      <c r="D183" s="24" t="str">
        <f aca="false">IF(C183&gt;=TotalStations,"Terminé",INDEX($A$10:$A$25,MATCH(SUMPRODUCT(($A$10:$A$25&lt;&gt;"")*($D$10:$D$25&lt;=C183))+1,$E$10:$E$25,0)))</f>
        <v>P2R</v>
      </c>
      <c r="E183" s="24" t="n">
        <f aca="false">IF(C183&gt;=TotalStations,"",INDEX($C$10:$C$25,MATCH(SUMPRODUCT(($A$10:$A$25&lt;&gt;"")*($D$10:$D$25&lt;=C183))+1,$E$10:$E$25,0)))</f>
        <v>90</v>
      </c>
      <c r="F183" s="24" t="n">
        <f aca="false">IF(C183&gt;=TotalStations,0,IF(B183="Dédié",MIN(FLOOR(420/E183,1),(TotalStations-C183)),MIN(1,(TotalStations-C183))))</f>
        <v>1</v>
      </c>
      <c r="G183" s="24" t="n">
        <f aca="false">C183+F183</f>
        <v>120</v>
      </c>
      <c r="H183" s="24" t="n">
        <f aca="false">L182</f>
        <v>199</v>
      </c>
      <c r="I183" s="24" t="str">
        <f aca="false">IF(H183&gt;=TotalStations,"Terminé",INDEX($A$10:$A$25,MATCH(SUMPRODUCT(($A$10:$A$25&lt;&gt;"")*($D$10:$D$25&lt;=H183))+1,$E$10:$E$25,0)))</f>
        <v>Terminé</v>
      </c>
      <c r="J183" s="24" t="str">
        <f aca="false">IF(H183&gt;=TotalStations,"",INDEX($C$10:$C$25,MATCH(SUMPRODUCT(($A$10:$A$25&lt;&gt;"")*($D$10:$D$25&lt;=H183))+1,$E$10:$E$25,0)))</f>
        <v/>
      </c>
      <c r="K183" s="24" t="n">
        <f aca="false">IF(H183&gt;=TotalStations,0,IF(B183="Dédié",MIN(FLOOR(420/J183,1),(TotalStations-H183)),MIN(2,(TotalStations-H183))))</f>
        <v>0</v>
      </c>
      <c r="L183" s="24" t="n">
        <f aca="false">H183+K183</f>
        <v>199</v>
      </c>
      <c r="M183" s="24" t="n">
        <f aca="false">Q182</f>
        <v>199</v>
      </c>
      <c r="N183" s="24" t="str">
        <f aca="false">IF(M183&gt;=TotalStations,"Terminé",INDEX($A$10:$A$25,MATCH(SUMPRODUCT(($A$10:$A$25&lt;&gt;"")*($D$10:$D$25&lt;=M183))+1,$E$10:$E$25,0)))</f>
        <v>Terminé</v>
      </c>
      <c r="O183" s="24" t="str">
        <f aca="false">IF(M183&gt;=TotalStations,"",INDEX($C$10:$C$25,MATCH(SUMPRODUCT(($A$10:$A$25&lt;&gt;"")*($D$10:$D$25&lt;=M183))+1,$E$10:$E$25,0)))</f>
        <v/>
      </c>
      <c r="P183" s="24" t="n">
        <f aca="false">IF(M183&gt;=TotalStations,0,MIN(FLOOR(420/O183,1),(TotalStations-M183)))</f>
        <v>0</v>
      </c>
      <c r="Q183" s="24" t="n">
        <f aca="false">M183+P183</f>
        <v>199</v>
      </c>
    </row>
    <row r="184" customFormat="false" ht="15" hidden="false" customHeight="true" outlineLevel="0" collapsed="false">
      <c r="A184" s="37" t="n">
        <f aca="false">WORKDAY(A183,1)</f>
        <v>46429</v>
      </c>
      <c r="B184" s="24" t="str">
        <f aca="false">IF(COUNTIF($B$5:$F$5,A184)&gt;0,"Dédié","Normal")</f>
        <v>Normal</v>
      </c>
      <c r="C184" s="24" t="n">
        <f aca="false">G183</f>
        <v>120</v>
      </c>
      <c r="D184" s="24" t="str">
        <f aca="false">IF(C184&gt;=TotalStations,"Terminé",INDEX($A$10:$A$25,MATCH(SUMPRODUCT(($A$10:$A$25&lt;&gt;"")*($D$10:$D$25&lt;=C184))+1,$E$10:$E$25,0)))</f>
        <v>P2R</v>
      </c>
      <c r="E184" s="24" t="n">
        <f aca="false">IF(C184&gt;=TotalStations,"",INDEX($C$10:$C$25,MATCH(SUMPRODUCT(($A$10:$A$25&lt;&gt;"")*($D$10:$D$25&lt;=C184))+1,$E$10:$E$25,0)))</f>
        <v>90</v>
      </c>
      <c r="F184" s="24" t="n">
        <f aca="false">IF(C184&gt;=TotalStations,0,IF(B184="Dédié",MIN(FLOOR(420/E184,1),(TotalStations-C184)),MIN(1,(TotalStations-C184))))</f>
        <v>1</v>
      </c>
      <c r="G184" s="24" t="n">
        <f aca="false">C184+F184</f>
        <v>121</v>
      </c>
      <c r="H184" s="24" t="n">
        <f aca="false">L183</f>
        <v>199</v>
      </c>
      <c r="I184" s="24" t="str">
        <f aca="false">IF(H184&gt;=TotalStations,"Terminé",INDEX($A$10:$A$25,MATCH(SUMPRODUCT(($A$10:$A$25&lt;&gt;"")*($D$10:$D$25&lt;=H184))+1,$E$10:$E$25,0)))</f>
        <v>Terminé</v>
      </c>
      <c r="J184" s="24" t="str">
        <f aca="false">IF(H184&gt;=TotalStations,"",INDEX($C$10:$C$25,MATCH(SUMPRODUCT(($A$10:$A$25&lt;&gt;"")*($D$10:$D$25&lt;=H184))+1,$E$10:$E$25,0)))</f>
        <v/>
      </c>
      <c r="K184" s="24" t="n">
        <f aca="false">IF(H184&gt;=TotalStations,0,IF(B184="Dédié",MIN(FLOOR(420/J184,1),(TotalStations-H184)),MIN(2,(TotalStations-H184))))</f>
        <v>0</v>
      </c>
      <c r="L184" s="24" t="n">
        <f aca="false">H184+K184</f>
        <v>199</v>
      </c>
      <c r="M184" s="24" t="n">
        <f aca="false">Q183</f>
        <v>199</v>
      </c>
      <c r="N184" s="24" t="str">
        <f aca="false">IF(M184&gt;=TotalStations,"Terminé",INDEX($A$10:$A$25,MATCH(SUMPRODUCT(($A$10:$A$25&lt;&gt;"")*($D$10:$D$25&lt;=M184))+1,$E$10:$E$25,0)))</f>
        <v>Terminé</v>
      </c>
      <c r="O184" s="24" t="str">
        <f aca="false">IF(M184&gt;=TotalStations,"",INDEX($C$10:$C$25,MATCH(SUMPRODUCT(($A$10:$A$25&lt;&gt;"")*($D$10:$D$25&lt;=M184))+1,$E$10:$E$25,0)))</f>
        <v/>
      </c>
      <c r="P184" s="24" t="n">
        <f aca="false">IF(M184&gt;=TotalStations,0,MIN(FLOOR(420/O184,1),(TotalStations-M184)))</f>
        <v>0</v>
      </c>
      <c r="Q184" s="24" t="n">
        <f aca="false">M184+P184</f>
        <v>199</v>
      </c>
    </row>
    <row r="185" customFormat="false" ht="15" hidden="false" customHeight="true" outlineLevel="0" collapsed="false">
      <c r="A185" s="37" t="n">
        <f aca="false">WORKDAY(A184,1)</f>
        <v>46430</v>
      </c>
      <c r="B185" s="24" t="str">
        <f aca="false">IF(COUNTIF($B$5:$F$5,A185)&gt;0,"Dédié","Normal")</f>
        <v>Normal</v>
      </c>
      <c r="C185" s="24" t="n">
        <f aca="false">G184</f>
        <v>121</v>
      </c>
      <c r="D185" s="24" t="str">
        <f aca="false">IF(C185&gt;=TotalStations,"Terminé",INDEX($A$10:$A$25,MATCH(SUMPRODUCT(($A$10:$A$25&lt;&gt;"")*($D$10:$D$25&lt;=C185))+1,$E$10:$E$25,0)))</f>
        <v>P2R</v>
      </c>
      <c r="E185" s="24" t="n">
        <f aca="false">IF(C185&gt;=TotalStations,"",INDEX($C$10:$C$25,MATCH(SUMPRODUCT(($A$10:$A$25&lt;&gt;"")*($D$10:$D$25&lt;=C185))+1,$E$10:$E$25,0)))</f>
        <v>90</v>
      </c>
      <c r="F185" s="24" t="n">
        <f aca="false">IF(C185&gt;=TotalStations,0,IF(B185="Dédié",MIN(FLOOR(420/E185,1),(TotalStations-C185)),MIN(1,(TotalStations-C185))))</f>
        <v>1</v>
      </c>
      <c r="G185" s="24" t="n">
        <f aca="false">C185+F185</f>
        <v>122</v>
      </c>
      <c r="H185" s="24" t="n">
        <f aca="false">L184</f>
        <v>199</v>
      </c>
      <c r="I185" s="24" t="str">
        <f aca="false">IF(H185&gt;=TotalStations,"Terminé",INDEX($A$10:$A$25,MATCH(SUMPRODUCT(($A$10:$A$25&lt;&gt;"")*($D$10:$D$25&lt;=H185))+1,$E$10:$E$25,0)))</f>
        <v>Terminé</v>
      </c>
      <c r="J185" s="24" t="str">
        <f aca="false">IF(H185&gt;=TotalStations,"",INDEX($C$10:$C$25,MATCH(SUMPRODUCT(($A$10:$A$25&lt;&gt;"")*($D$10:$D$25&lt;=H185))+1,$E$10:$E$25,0)))</f>
        <v/>
      </c>
      <c r="K185" s="24" t="n">
        <f aca="false">IF(H185&gt;=TotalStations,0,IF(B185="Dédié",MIN(FLOOR(420/J185,1),(TotalStations-H185)),MIN(2,(TotalStations-H185))))</f>
        <v>0</v>
      </c>
      <c r="L185" s="24" t="n">
        <f aca="false">H185+K185</f>
        <v>199</v>
      </c>
      <c r="M185" s="24" t="n">
        <f aca="false">Q184</f>
        <v>199</v>
      </c>
      <c r="N185" s="24" t="str">
        <f aca="false">IF(M185&gt;=TotalStations,"Terminé",INDEX($A$10:$A$25,MATCH(SUMPRODUCT(($A$10:$A$25&lt;&gt;"")*($D$10:$D$25&lt;=M185))+1,$E$10:$E$25,0)))</f>
        <v>Terminé</v>
      </c>
      <c r="O185" s="24" t="str">
        <f aca="false">IF(M185&gt;=TotalStations,"",INDEX($C$10:$C$25,MATCH(SUMPRODUCT(($A$10:$A$25&lt;&gt;"")*($D$10:$D$25&lt;=M185))+1,$E$10:$E$25,0)))</f>
        <v/>
      </c>
      <c r="P185" s="24" t="n">
        <f aca="false">IF(M185&gt;=TotalStations,0,MIN(FLOOR(420/O185,1),(TotalStations-M185)))</f>
        <v>0</v>
      </c>
      <c r="Q185" s="24" t="n">
        <f aca="false">M185+P185</f>
        <v>199</v>
      </c>
    </row>
    <row r="186" customFormat="false" ht="15" hidden="false" customHeight="true" outlineLevel="0" collapsed="false">
      <c r="A186" s="37" t="n">
        <f aca="false">WORKDAY(A185,1)</f>
        <v>46433</v>
      </c>
      <c r="B186" s="24" t="str">
        <f aca="false">IF(COUNTIF($B$5:$F$5,A186)&gt;0,"Dédié","Normal")</f>
        <v>Normal</v>
      </c>
      <c r="C186" s="24" t="n">
        <f aca="false">G185</f>
        <v>122</v>
      </c>
      <c r="D186" s="24" t="str">
        <f aca="false">IF(C186&gt;=TotalStations,"Terminé",INDEX($A$10:$A$25,MATCH(SUMPRODUCT(($A$10:$A$25&lt;&gt;"")*($D$10:$D$25&lt;=C186))+1,$E$10:$E$25,0)))</f>
        <v>P2R</v>
      </c>
      <c r="E186" s="24" t="n">
        <f aca="false">IF(C186&gt;=TotalStations,"",INDEX($C$10:$C$25,MATCH(SUMPRODUCT(($A$10:$A$25&lt;&gt;"")*($D$10:$D$25&lt;=C186))+1,$E$10:$E$25,0)))</f>
        <v>90</v>
      </c>
      <c r="F186" s="24" t="n">
        <f aca="false">IF(C186&gt;=TotalStations,0,IF(B186="Dédié",MIN(FLOOR(420/E186,1),(TotalStations-C186)),MIN(1,(TotalStations-C186))))</f>
        <v>1</v>
      </c>
      <c r="G186" s="24" t="n">
        <f aca="false">C186+F186</f>
        <v>123</v>
      </c>
      <c r="H186" s="24" t="n">
        <f aca="false">L185</f>
        <v>199</v>
      </c>
      <c r="I186" s="24" t="str">
        <f aca="false">IF(H186&gt;=TotalStations,"Terminé",INDEX($A$10:$A$25,MATCH(SUMPRODUCT(($A$10:$A$25&lt;&gt;"")*($D$10:$D$25&lt;=H186))+1,$E$10:$E$25,0)))</f>
        <v>Terminé</v>
      </c>
      <c r="J186" s="24" t="str">
        <f aca="false">IF(H186&gt;=TotalStations,"",INDEX($C$10:$C$25,MATCH(SUMPRODUCT(($A$10:$A$25&lt;&gt;"")*($D$10:$D$25&lt;=H186))+1,$E$10:$E$25,0)))</f>
        <v/>
      </c>
      <c r="K186" s="24" t="n">
        <f aca="false">IF(H186&gt;=TotalStations,0,IF(B186="Dédié",MIN(FLOOR(420/J186,1),(TotalStations-H186)),MIN(2,(TotalStations-H186))))</f>
        <v>0</v>
      </c>
      <c r="L186" s="24" t="n">
        <f aca="false">H186+K186</f>
        <v>199</v>
      </c>
      <c r="M186" s="24" t="n">
        <f aca="false">Q185</f>
        <v>199</v>
      </c>
      <c r="N186" s="24" t="str">
        <f aca="false">IF(M186&gt;=TotalStations,"Terminé",INDEX($A$10:$A$25,MATCH(SUMPRODUCT(($A$10:$A$25&lt;&gt;"")*($D$10:$D$25&lt;=M186))+1,$E$10:$E$25,0)))</f>
        <v>Terminé</v>
      </c>
      <c r="O186" s="24" t="str">
        <f aca="false">IF(M186&gt;=TotalStations,"",INDEX($C$10:$C$25,MATCH(SUMPRODUCT(($A$10:$A$25&lt;&gt;"")*($D$10:$D$25&lt;=M186))+1,$E$10:$E$25,0)))</f>
        <v/>
      </c>
      <c r="P186" s="24" t="n">
        <f aca="false">IF(M186&gt;=TotalStations,0,MIN(FLOOR(420/O186,1),(TotalStations-M186)))</f>
        <v>0</v>
      </c>
      <c r="Q186" s="24" t="n">
        <f aca="false">M186+P186</f>
        <v>199</v>
      </c>
    </row>
    <row r="187" customFormat="false" ht="15" hidden="false" customHeight="true" outlineLevel="0" collapsed="false">
      <c r="A187" s="37" t="n">
        <f aca="false">WORKDAY(A186,1)</f>
        <v>46434</v>
      </c>
      <c r="B187" s="24" t="str">
        <f aca="false">IF(COUNTIF($B$5:$F$5,A187)&gt;0,"Dédié","Normal")</f>
        <v>Normal</v>
      </c>
      <c r="C187" s="24" t="n">
        <f aca="false">G186</f>
        <v>123</v>
      </c>
      <c r="D187" s="24" t="str">
        <f aca="false">IF(C187&gt;=TotalStations,"Terminé",INDEX($A$10:$A$25,MATCH(SUMPRODUCT(($A$10:$A$25&lt;&gt;"")*($D$10:$D$25&lt;=C187))+1,$E$10:$E$25,0)))</f>
        <v>P2R</v>
      </c>
      <c r="E187" s="24" t="n">
        <f aca="false">IF(C187&gt;=TotalStations,"",INDEX($C$10:$C$25,MATCH(SUMPRODUCT(($A$10:$A$25&lt;&gt;"")*($D$10:$D$25&lt;=C187))+1,$E$10:$E$25,0)))</f>
        <v>90</v>
      </c>
      <c r="F187" s="24" t="n">
        <f aca="false">IF(C187&gt;=TotalStations,0,IF(B187="Dédié",MIN(FLOOR(420/E187,1),(TotalStations-C187)),MIN(1,(TotalStations-C187))))</f>
        <v>1</v>
      </c>
      <c r="G187" s="24" t="n">
        <f aca="false">C187+F187</f>
        <v>124</v>
      </c>
      <c r="H187" s="24" t="n">
        <f aca="false">L186</f>
        <v>199</v>
      </c>
      <c r="I187" s="24" t="str">
        <f aca="false">IF(H187&gt;=TotalStations,"Terminé",INDEX($A$10:$A$25,MATCH(SUMPRODUCT(($A$10:$A$25&lt;&gt;"")*($D$10:$D$25&lt;=H187))+1,$E$10:$E$25,0)))</f>
        <v>Terminé</v>
      </c>
      <c r="J187" s="24" t="str">
        <f aca="false">IF(H187&gt;=TotalStations,"",INDEX($C$10:$C$25,MATCH(SUMPRODUCT(($A$10:$A$25&lt;&gt;"")*($D$10:$D$25&lt;=H187))+1,$E$10:$E$25,0)))</f>
        <v/>
      </c>
      <c r="K187" s="24" t="n">
        <f aca="false">IF(H187&gt;=TotalStations,0,IF(B187="Dédié",MIN(FLOOR(420/J187,1),(TotalStations-H187)),MIN(2,(TotalStations-H187))))</f>
        <v>0</v>
      </c>
      <c r="L187" s="24" t="n">
        <f aca="false">H187+K187</f>
        <v>199</v>
      </c>
      <c r="M187" s="24" t="n">
        <f aca="false">Q186</f>
        <v>199</v>
      </c>
      <c r="N187" s="24" t="str">
        <f aca="false">IF(M187&gt;=TotalStations,"Terminé",INDEX($A$10:$A$25,MATCH(SUMPRODUCT(($A$10:$A$25&lt;&gt;"")*($D$10:$D$25&lt;=M187))+1,$E$10:$E$25,0)))</f>
        <v>Terminé</v>
      </c>
      <c r="O187" s="24" t="str">
        <f aca="false">IF(M187&gt;=TotalStations,"",INDEX($C$10:$C$25,MATCH(SUMPRODUCT(($A$10:$A$25&lt;&gt;"")*($D$10:$D$25&lt;=M187))+1,$E$10:$E$25,0)))</f>
        <v/>
      </c>
      <c r="P187" s="24" t="n">
        <f aca="false">IF(M187&gt;=TotalStations,0,MIN(FLOOR(420/O187,1),(TotalStations-M187)))</f>
        <v>0</v>
      </c>
      <c r="Q187" s="24" t="n">
        <f aca="false">M187+P187</f>
        <v>199</v>
      </c>
    </row>
    <row r="188" customFormat="false" ht="15" hidden="false" customHeight="true" outlineLevel="0" collapsed="false">
      <c r="A188" s="37" t="n">
        <f aca="false">WORKDAY(A187,1)</f>
        <v>46435</v>
      </c>
      <c r="B188" s="24" t="str">
        <f aca="false">IF(COUNTIF($B$5:$F$5,A188)&gt;0,"Dédié","Normal")</f>
        <v>Normal</v>
      </c>
      <c r="C188" s="24" t="n">
        <f aca="false">G187</f>
        <v>124</v>
      </c>
      <c r="D188" s="24" t="str">
        <f aca="false">IF(C188&gt;=TotalStations,"Terminé",INDEX($A$10:$A$25,MATCH(SUMPRODUCT(($A$10:$A$25&lt;&gt;"")*($D$10:$D$25&lt;=C188))+1,$E$10:$E$25,0)))</f>
        <v>P2R</v>
      </c>
      <c r="E188" s="24" t="n">
        <f aca="false">IF(C188&gt;=TotalStations,"",INDEX($C$10:$C$25,MATCH(SUMPRODUCT(($A$10:$A$25&lt;&gt;"")*($D$10:$D$25&lt;=C188))+1,$E$10:$E$25,0)))</f>
        <v>90</v>
      </c>
      <c r="F188" s="24" t="n">
        <f aca="false">IF(C188&gt;=TotalStations,0,IF(B188="Dédié",MIN(FLOOR(420/E188,1),(TotalStations-C188)),MIN(1,(TotalStations-C188))))</f>
        <v>1</v>
      </c>
      <c r="G188" s="24" t="n">
        <f aca="false">C188+F188</f>
        <v>125</v>
      </c>
      <c r="H188" s="24" t="n">
        <f aca="false">L187</f>
        <v>199</v>
      </c>
      <c r="I188" s="24" t="str">
        <f aca="false">IF(H188&gt;=TotalStations,"Terminé",INDEX($A$10:$A$25,MATCH(SUMPRODUCT(($A$10:$A$25&lt;&gt;"")*($D$10:$D$25&lt;=H188))+1,$E$10:$E$25,0)))</f>
        <v>Terminé</v>
      </c>
      <c r="J188" s="24" t="str">
        <f aca="false">IF(H188&gt;=TotalStations,"",INDEX($C$10:$C$25,MATCH(SUMPRODUCT(($A$10:$A$25&lt;&gt;"")*($D$10:$D$25&lt;=H188))+1,$E$10:$E$25,0)))</f>
        <v/>
      </c>
      <c r="K188" s="24" t="n">
        <f aca="false">IF(H188&gt;=TotalStations,0,IF(B188="Dédié",MIN(FLOOR(420/J188,1),(TotalStations-H188)),MIN(2,(TotalStations-H188))))</f>
        <v>0</v>
      </c>
      <c r="L188" s="24" t="n">
        <f aca="false">H188+K188</f>
        <v>199</v>
      </c>
      <c r="M188" s="24" t="n">
        <f aca="false">Q187</f>
        <v>199</v>
      </c>
      <c r="N188" s="24" t="str">
        <f aca="false">IF(M188&gt;=TotalStations,"Terminé",INDEX($A$10:$A$25,MATCH(SUMPRODUCT(($A$10:$A$25&lt;&gt;"")*($D$10:$D$25&lt;=M188))+1,$E$10:$E$25,0)))</f>
        <v>Terminé</v>
      </c>
      <c r="O188" s="24" t="str">
        <f aca="false">IF(M188&gt;=TotalStations,"",INDEX($C$10:$C$25,MATCH(SUMPRODUCT(($A$10:$A$25&lt;&gt;"")*($D$10:$D$25&lt;=M188))+1,$E$10:$E$25,0)))</f>
        <v/>
      </c>
      <c r="P188" s="24" t="n">
        <f aca="false">IF(M188&gt;=TotalStations,0,MIN(FLOOR(420/O188,1),(TotalStations-M188)))</f>
        <v>0</v>
      </c>
      <c r="Q188" s="24" t="n">
        <f aca="false">M188+P188</f>
        <v>199</v>
      </c>
    </row>
    <row r="189" customFormat="false" ht="15" hidden="false" customHeight="true" outlineLevel="0" collapsed="false">
      <c r="A189" s="37" t="n">
        <f aca="false">WORKDAY(A188,1)</f>
        <v>46436</v>
      </c>
      <c r="B189" s="24" t="str">
        <f aca="false">IF(COUNTIF($B$5:$F$5,A189)&gt;0,"Dédié","Normal")</f>
        <v>Normal</v>
      </c>
      <c r="C189" s="24" t="n">
        <f aca="false">G188</f>
        <v>125</v>
      </c>
      <c r="D189" s="24" t="str">
        <f aca="false">IF(C189&gt;=TotalStations,"Terminé",INDEX($A$10:$A$25,MATCH(SUMPRODUCT(($A$10:$A$25&lt;&gt;"")*($D$10:$D$25&lt;=C189))+1,$E$10:$E$25,0)))</f>
        <v>P2R</v>
      </c>
      <c r="E189" s="24" t="n">
        <f aca="false">IF(C189&gt;=TotalStations,"",INDEX($C$10:$C$25,MATCH(SUMPRODUCT(($A$10:$A$25&lt;&gt;"")*($D$10:$D$25&lt;=C189))+1,$E$10:$E$25,0)))</f>
        <v>90</v>
      </c>
      <c r="F189" s="24" t="n">
        <f aca="false">IF(C189&gt;=TotalStations,0,IF(B189="Dédié",MIN(FLOOR(420/E189,1),(TotalStations-C189)),MIN(1,(TotalStations-C189))))</f>
        <v>1</v>
      </c>
      <c r="G189" s="24" t="n">
        <f aca="false">C189+F189</f>
        <v>126</v>
      </c>
      <c r="H189" s="24" t="n">
        <f aca="false">L188</f>
        <v>199</v>
      </c>
      <c r="I189" s="24" t="str">
        <f aca="false">IF(H189&gt;=TotalStations,"Terminé",INDEX($A$10:$A$25,MATCH(SUMPRODUCT(($A$10:$A$25&lt;&gt;"")*($D$10:$D$25&lt;=H189))+1,$E$10:$E$25,0)))</f>
        <v>Terminé</v>
      </c>
      <c r="J189" s="24" t="str">
        <f aca="false">IF(H189&gt;=TotalStations,"",INDEX($C$10:$C$25,MATCH(SUMPRODUCT(($A$10:$A$25&lt;&gt;"")*($D$10:$D$25&lt;=H189))+1,$E$10:$E$25,0)))</f>
        <v/>
      </c>
      <c r="K189" s="24" t="n">
        <f aca="false">IF(H189&gt;=TotalStations,0,IF(B189="Dédié",MIN(FLOOR(420/J189,1),(TotalStations-H189)),MIN(2,(TotalStations-H189))))</f>
        <v>0</v>
      </c>
      <c r="L189" s="24" t="n">
        <f aca="false">H189+K189</f>
        <v>199</v>
      </c>
      <c r="M189" s="24" t="n">
        <f aca="false">Q188</f>
        <v>199</v>
      </c>
      <c r="N189" s="24" t="str">
        <f aca="false">IF(M189&gt;=TotalStations,"Terminé",INDEX($A$10:$A$25,MATCH(SUMPRODUCT(($A$10:$A$25&lt;&gt;"")*($D$10:$D$25&lt;=M189))+1,$E$10:$E$25,0)))</f>
        <v>Terminé</v>
      </c>
      <c r="O189" s="24" t="str">
        <f aca="false">IF(M189&gt;=TotalStations,"",INDEX($C$10:$C$25,MATCH(SUMPRODUCT(($A$10:$A$25&lt;&gt;"")*($D$10:$D$25&lt;=M189))+1,$E$10:$E$25,0)))</f>
        <v/>
      </c>
      <c r="P189" s="24" t="n">
        <f aca="false">IF(M189&gt;=TotalStations,0,MIN(FLOOR(420/O189,1),(TotalStations-M189)))</f>
        <v>0</v>
      </c>
      <c r="Q189" s="24" t="n">
        <f aca="false">M189+P189</f>
        <v>199</v>
      </c>
    </row>
    <row r="190" customFormat="false" ht="15" hidden="false" customHeight="true" outlineLevel="0" collapsed="false">
      <c r="A190" s="37" t="n">
        <f aca="false">WORKDAY(A189,1)</f>
        <v>46437</v>
      </c>
      <c r="B190" s="24" t="str">
        <f aca="false">IF(COUNTIF($B$5:$F$5,A190)&gt;0,"Dédié","Normal")</f>
        <v>Normal</v>
      </c>
      <c r="C190" s="24" t="n">
        <f aca="false">G189</f>
        <v>126</v>
      </c>
      <c r="D190" s="24" t="str">
        <f aca="false">IF(C190&gt;=TotalStations,"Terminé",INDEX($A$10:$A$25,MATCH(SUMPRODUCT(($A$10:$A$25&lt;&gt;"")*($D$10:$D$25&lt;=C190))+1,$E$10:$E$25,0)))</f>
        <v>P2R</v>
      </c>
      <c r="E190" s="24" t="n">
        <f aca="false">IF(C190&gt;=TotalStations,"",INDEX($C$10:$C$25,MATCH(SUMPRODUCT(($A$10:$A$25&lt;&gt;"")*($D$10:$D$25&lt;=C190))+1,$E$10:$E$25,0)))</f>
        <v>90</v>
      </c>
      <c r="F190" s="24" t="n">
        <f aca="false">IF(C190&gt;=TotalStations,0,IF(B190="Dédié",MIN(FLOOR(420/E190,1),(TotalStations-C190)),MIN(1,(TotalStations-C190))))</f>
        <v>1</v>
      </c>
      <c r="G190" s="24" t="n">
        <f aca="false">C190+F190</f>
        <v>127</v>
      </c>
      <c r="H190" s="24" t="n">
        <f aca="false">L189</f>
        <v>199</v>
      </c>
      <c r="I190" s="24" t="str">
        <f aca="false">IF(H190&gt;=TotalStations,"Terminé",INDEX($A$10:$A$25,MATCH(SUMPRODUCT(($A$10:$A$25&lt;&gt;"")*($D$10:$D$25&lt;=H190))+1,$E$10:$E$25,0)))</f>
        <v>Terminé</v>
      </c>
      <c r="J190" s="24" t="str">
        <f aca="false">IF(H190&gt;=TotalStations,"",INDEX($C$10:$C$25,MATCH(SUMPRODUCT(($A$10:$A$25&lt;&gt;"")*($D$10:$D$25&lt;=H190))+1,$E$10:$E$25,0)))</f>
        <v/>
      </c>
      <c r="K190" s="24" t="n">
        <f aca="false">IF(H190&gt;=TotalStations,0,IF(B190="Dédié",MIN(FLOOR(420/J190,1),(TotalStations-H190)),MIN(2,(TotalStations-H190))))</f>
        <v>0</v>
      </c>
      <c r="L190" s="24" t="n">
        <f aca="false">H190+K190</f>
        <v>199</v>
      </c>
      <c r="M190" s="24" t="n">
        <f aca="false">Q189</f>
        <v>199</v>
      </c>
      <c r="N190" s="24" t="str">
        <f aca="false">IF(M190&gt;=TotalStations,"Terminé",INDEX($A$10:$A$25,MATCH(SUMPRODUCT(($A$10:$A$25&lt;&gt;"")*($D$10:$D$25&lt;=M190))+1,$E$10:$E$25,0)))</f>
        <v>Terminé</v>
      </c>
      <c r="O190" s="24" t="str">
        <f aca="false">IF(M190&gt;=TotalStations,"",INDEX($C$10:$C$25,MATCH(SUMPRODUCT(($A$10:$A$25&lt;&gt;"")*($D$10:$D$25&lt;=M190))+1,$E$10:$E$25,0)))</f>
        <v/>
      </c>
      <c r="P190" s="24" t="n">
        <f aca="false">IF(M190&gt;=TotalStations,0,MIN(FLOOR(420/O190,1),(TotalStations-M190)))</f>
        <v>0</v>
      </c>
      <c r="Q190" s="24" t="n">
        <f aca="false">M190+P190</f>
        <v>199</v>
      </c>
    </row>
    <row r="191" customFormat="false" ht="15" hidden="false" customHeight="true" outlineLevel="0" collapsed="false">
      <c r="A191" s="37" t="n">
        <f aca="false">WORKDAY(A190,1)</f>
        <v>46440</v>
      </c>
      <c r="B191" s="24" t="str">
        <f aca="false">IF(COUNTIF($B$5:$F$5,A191)&gt;0,"Dédié","Normal")</f>
        <v>Normal</v>
      </c>
      <c r="C191" s="24" t="n">
        <f aca="false">G190</f>
        <v>127</v>
      </c>
      <c r="D191" s="24" t="str">
        <f aca="false">IF(C191&gt;=TotalStations,"Terminé",INDEX($A$10:$A$25,MATCH(SUMPRODUCT(($A$10:$A$25&lt;&gt;"")*($D$10:$D$25&lt;=C191))+1,$E$10:$E$25,0)))</f>
        <v>P2R</v>
      </c>
      <c r="E191" s="24" t="n">
        <f aca="false">IF(C191&gt;=TotalStations,"",INDEX($C$10:$C$25,MATCH(SUMPRODUCT(($A$10:$A$25&lt;&gt;"")*($D$10:$D$25&lt;=C191))+1,$E$10:$E$25,0)))</f>
        <v>90</v>
      </c>
      <c r="F191" s="24" t="n">
        <f aca="false">IF(C191&gt;=TotalStations,0,IF(B191="Dédié",MIN(FLOOR(420/E191,1),(TotalStations-C191)),MIN(1,(TotalStations-C191))))</f>
        <v>1</v>
      </c>
      <c r="G191" s="24" t="n">
        <f aca="false">C191+F191</f>
        <v>128</v>
      </c>
      <c r="H191" s="24" t="n">
        <f aca="false">L190</f>
        <v>199</v>
      </c>
      <c r="I191" s="24" t="str">
        <f aca="false">IF(H191&gt;=TotalStations,"Terminé",INDEX($A$10:$A$25,MATCH(SUMPRODUCT(($A$10:$A$25&lt;&gt;"")*($D$10:$D$25&lt;=H191))+1,$E$10:$E$25,0)))</f>
        <v>Terminé</v>
      </c>
      <c r="J191" s="24" t="str">
        <f aca="false">IF(H191&gt;=TotalStations,"",INDEX($C$10:$C$25,MATCH(SUMPRODUCT(($A$10:$A$25&lt;&gt;"")*($D$10:$D$25&lt;=H191))+1,$E$10:$E$25,0)))</f>
        <v/>
      </c>
      <c r="K191" s="24" t="n">
        <f aca="false">IF(H191&gt;=TotalStations,0,IF(B191="Dédié",MIN(FLOOR(420/J191,1),(TotalStations-H191)),MIN(2,(TotalStations-H191))))</f>
        <v>0</v>
      </c>
      <c r="L191" s="24" t="n">
        <f aca="false">H191+K191</f>
        <v>199</v>
      </c>
      <c r="M191" s="24" t="n">
        <f aca="false">Q190</f>
        <v>199</v>
      </c>
      <c r="N191" s="24" t="str">
        <f aca="false">IF(M191&gt;=TotalStations,"Terminé",INDEX($A$10:$A$25,MATCH(SUMPRODUCT(($A$10:$A$25&lt;&gt;"")*($D$10:$D$25&lt;=M191))+1,$E$10:$E$25,0)))</f>
        <v>Terminé</v>
      </c>
      <c r="O191" s="24" t="str">
        <f aca="false">IF(M191&gt;=TotalStations,"",INDEX($C$10:$C$25,MATCH(SUMPRODUCT(($A$10:$A$25&lt;&gt;"")*($D$10:$D$25&lt;=M191))+1,$E$10:$E$25,0)))</f>
        <v/>
      </c>
      <c r="P191" s="24" t="n">
        <f aca="false">IF(M191&gt;=TotalStations,0,MIN(FLOOR(420/O191,1),(TotalStations-M191)))</f>
        <v>0</v>
      </c>
      <c r="Q191" s="24" t="n">
        <f aca="false">M191+P191</f>
        <v>199</v>
      </c>
    </row>
    <row r="192" customFormat="false" ht="15" hidden="false" customHeight="true" outlineLevel="0" collapsed="false">
      <c r="A192" s="37" t="n">
        <f aca="false">WORKDAY(A191,1)</f>
        <v>46441</v>
      </c>
      <c r="B192" s="24" t="str">
        <f aca="false">IF(COUNTIF($B$5:$F$5,A192)&gt;0,"Dédié","Normal")</f>
        <v>Normal</v>
      </c>
      <c r="C192" s="24" t="n">
        <f aca="false">G191</f>
        <v>128</v>
      </c>
      <c r="D192" s="24" t="str">
        <f aca="false">IF(C192&gt;=TotalStations,"Terminé",INDEX($A$10:$A$25,MATCH(SUMPRODUCT(($A$10:$A$25&lt;&gt;"")*($D$10:$D$25&lt;=C192))+1,$E$10:$E$25,0)))</f>
        <v>P2R</v>
      </c>
      <c r="E192" s="24" t="n">
        <f aca="false">IF(C192&gt;=TotalStations,"",INDEX($C$10:$C$25,MATCH(SUMPRODUCT(($A$10:$A$25&lt;&gt;"")*($D$10:$D$25&lt;=C192))+1,$E$10:$E$25,0)))</f>
        <v>90</v>
      </c>
      <c r="F192" s="24" t="n">
        <f aca="false">IF(C192&gt;=TotalStations,0,IF(B192="Dédié",MIN(FLOOR(420/E192,1),(TotalStations-C192)),MIN(1,(TotalStations-C192))))</f>
        <v>1</v>
      </c>
      <c r="G192" s="24" t="n">
        <f aca="false">C192+F192</f>
        <v>129</v>
      </c>
      <c r="H192" s="24" t="n">
        <f aca="false">L191</f>
        <v>199</v>
      </c>
      <c r="I192" s="24" t="str">
        <f aca="false">IF(H192&gt;=TotalStations,"Terminé",INDEX($A$10:$A$25,MATCH(SUMPRODUCT(($A$10:$A$25&lt;&gt;"")*($D$10:$D$25&lt;=H192))+1,$E$10:$E$25,0)))</f>
        <v>Terminé</v>
      </c>
      <c r="J192" s="24" t="str">
        <f aca="false">IF(H192&gt;=TotalStations,"",INDEX($C$10:$C$25,MATCH(SUMPRODUCT(($A$10:$A$25&lt;&gt;"")*($D$10:$D$25&lt;=H192))+1,$E$10:$E$25,0)))</f>
        <v/>
      </c>
      <c r="K192" s="24" t="n">
        <f aca="false">IF(H192&gt;=TotalStations,0,IF(B192="Dédié",MIN(FLOOR(420/J192,1),(TotalStations-H192)),MIN(2,(TotalStations-H192))))</f>
        <v>0</v>
      </c>
      <c r="L192" s="24" t="n">
        <f aca="false">H192+K192</f>
        <v>199</v>
      </c>
      <c r="M192" s="24" t="n">
        <f aca="false">Q191</f>
        <v>199</v>
      </c>
      <c r="N192" s="24" t="str">
        <f aca="false">IF(M192&gt;=TotalStations,"Terminé",INDEX($A$10:$A$25,MATCH(SUMPRODUCT(($A$10:$A$25&lt;&gt;"")*($D$10:$D$25&lt;=M192))+1,$E$10:$E$25,0)))</f>
        <v>Terminé</v>
      </c>
      <c r="O192" s="24" t="str">
        <f aca="false">IF(M192&gt;=TotalStations,"",INDEX($C$10:$C$25,MATCH(SUMPRODUCT(($A$10:$A$25&lt;&gt;"")*($D$10:$D$25&lt;=M192))+1,$E$10:$E$25,0)))</f>
        <v/>
      </c>
      <c r="P192" s="24" t="n">
        <f aca="false">IF(M192&gt;=TotalStations,0,MIN(FLOOR(420/O192,1),(TotalStations-M192)))</f>
        <v>0</v>
      </c>
      <c r="Q192" s="24" t="n">
        <f aca="false">M192+P192</f>
        <v>199</v>
      </c>
    </row>
    <row r="193" customFormat="false" ht="15" hidden="false" customHeight="true" outlineLevel="0" collapsed="false">
      <c r="A193" s="37" t="n">
        <f aca="false">WORKDAY(A192,1)</f>
        <v>46442</v>
      </c>
      <c r="B193" s="24" t="str">
        <f aca="false">IF(COUNTIF($B$5:$F$5,A193)&gt;0,"Dédié","Normal")</f>
        <v>Normal</v>
      </c>
      <c r="C193" s="24" t="n">
        <f aca="false">G192</f>
        <v>129</v>
      </c>
      <c r="D193" s="24" t="str">
        <f aca="false">IF(C193&gt;=TotalStations,"Terminé",INDEX($A$10:$A$25,MATCH(SUMPRODUCT(($A$10:$A$25&lt;&gt;"")*($D$10:$D$25&lt;=C193))+1,$E$10:$E$25,0)))</f>
        <v>P2R</v>
      </c>
      <c r="E193" s="24" t="n">
        <f aca="false">IF(C193&gt;=TotalStations,"",INDEX($C$10:$C$25,MATCH(SUMPRODUCT(($A$10:$A$25&lt;&gt;"")*($D$10:$D$25&lt;=C193))+1,$E$10:$E$25,0)))</f>
        <v>90</v>
      </c>
      <c r="F193" s="24" t="n">
        <f aca="false">IF(C193&gt;=TotalStations,0,IF(B193="Dédié",MIN(FLOOR(420/E193,1),(TotalStations-C193)),MIN(1,(TotalStations-C193))))</f>
        <v>1</v>
      </c>
      <c r="G193" s="24" t="n">
        <f aca="false">C193+F193</f>
        <v>130</v>
      </c>
      <c r="H193" s="24" t="n">
        <f aca="false">L192</f>
        <v>199</v>
      </c>
      <c r="I193" s="24" t="str">
        <f aca="false">IF(H193&gt;=TotalStations,"Terminé",INDEX($A$10:$A$25,MATCH(SUMPRODUCT(($A$10:$A$25&lt;&gt;"")*($D$10:$D$25&lt;=H193))+1,$E$10:$E$25,0)))</f>
        <v>Terminé</v>
      </c>
      <c r="J193" s="24" t="str">
        <f aca="false">IF(H193&gt;=TotalStations,"",INDEX($C$10:$C$25,MATCH(SUMPRODUCT(($A$10:$A$25&lt;&gt;"")*($D$10:$D$25&lt;=H193))+1,$E$10:$E$25,0)))</f>
        <v/>
      </c>
      <c r="K193" s="24" t="n">
        <f aca="false">IF(H193&gt;=TotalStations,0,IF(B193="Dédié",MIN(FLOOR(420/J193,1),(TotalStations-H193)),MIN(2,(TotalStations-H193))))</f>
        <v>0</v>
      </c>
      <c r="L193" s="24" t="n">
        <f aca="false">H193+K193</f>
        <v>199</v>
      </c>
      <c r="M193" s="24" t="n">
        <f aca="false">Q192</f>
        <v>199</v>
      </c>
      <c r="N193" s="24" t="str">
        <f aca="false">IF(M193&gt;=TotalStations,"Terminé",INDEX($A$10:$A$25,MATCH(SUMPRODUCT(($A$10:$A$25&lt;&gt;"")*($D$10:$D$25&lt;=M193))+1,$E$10:$E$25,0)))</f>
        <v>Terminé</v>
      </c>
      <c r="O193" s="24" t="str">
        <f aca="false">IF(M193&gt;=TotalStations,"",INDEX($C$10:$C$25,MATCH(SUMPRODUCT(($A$10:$A$25&lt;&gt;"")*($D$10:$D$25&lt;=M193))+1,$E$10:$E$25,0)))</f>
        <v/>
      </c>
      <c r="P193" s="24" t="n">
        <f aca="false">IF(M193&gt;=TotalStations,0,MIN(FLOOR(420/O193,1),(TotalStations-M193)))</f>
        <v>0</v>
      </c>
      <c r="Q193" s="24" t="n">
        <f aca="false">M193+P193</f>
        <v>199</v>
      </c>
    </row>
    <row r="194" customFormat="false" ht="15" hidden="false" customHeight="true" outlineLevel="0" collapsed="false">
      <c r="A194" s="37" t="n">
        <f aca="false">WORKDAY(A193,1)</f>
        <v>46443</v>
      </c>
      <c r="B194" s="24" t="str">
        <f aca="false">IF(COUNTIF($B$5:$F$5,A194)&gt;0,"Dédié","Normal")</f>
        <v>Normal</v>
      </c>
      <c r="C194" s="24" t="n">
        <f aca="false">G193</f>
        <v>130</v>
      </c>
      <c r="D194" s="24" t="str">
        <f aca="false">IF(C194&gt;=TotalStations,"Terminé",INDEX($A$10:$A$25,MATCH(SUMPRODUCT(($A$10:$A$25&lt;&gt;"")*($D$10:$D$25&lt;=C194))+1,$E$10:$E$25,0)))</f>
        <v>P2R</v>
      </c>
      <c r="E194" s="24" t="n">
        <f aca="false">IF(C194&gt;=TotalStations,"",INDEX($C$10:$C$25,MATCH(SUMPRODUCT(($A$10:$A$25&lt;&gt;"")*($D$10:$D$25&lt;=C194))+1,$E$10:$E$25,0)))</f>
        <v>90</v>
      </c>
      <c r="F194" s="24" t="n">
        <f aca="false">IF(C194&gt;=TotalStations,0,IF(B194="Dédié",MIN(FLOOR(420/E194,1),(TotalStations-C194)),MIN(1,(TotalStations-C194))))</f>
        <v>1</v>
      </c>
      <c r="G194" s="24" t="n">
        <f aca="false">C194+F194</f>
        <v>131</v>
      </c>
      <c r="H194" s="24" t="n">
        <f aca="false">L193</f>
        <v>199</v>
      </c>
      <c r="I194" s="24" t="str">
        <f aca="false">IF(H194&gt;=TotalStations,"Terminé",INDEX($A$10:$A$25,MATCH(SUMPRODUCT(($A$10:$A$25&lt;&gt;"")*($D$10:$D$25&lt;=H194))+1,$E$10:$E$25,0)))</f>
        <v>Terminé</v>
      </c>
      <c r="J194" s="24" t="str">
        <f aca="false">IF(H194&gt;=TotalStations,"",INDEX($C$10:$C$25,MATCH(SUMPRODUCT(($A$10:$A$25&lt;&gt;"")*($D$10:$D$25&lt;=H194))+1,$E$10:$E$25,0)))</f>
        <v/>
      </c>
      <c r="K194" s="24" t="n">
        <f aca="false">IF(H194&gt;=TotalStations,0,IF(B194="Dédié",MIN(FLOOR(420/J194,1),(TotalStations-H194)),MIN(2,(TotalStations-H194))))</f>
        <v>0</v>
      </c>
      <c r="L194" s="24" t="n">
        <f aca="false">H194+K194</f>
        <v>199</v>
      </c>
      <c r="M194" s="24" t="n">
        <f aca="false">Q193</f>
        <v>199</v>
      </c>
      <c r="N194" s="24" t="str">
        <f aca="false">IF(M194&gt;=TotalStations,"Terminé",INDEX($A$10:$A$25,MATCH(SUMPRODUCT(($A$10:$A$25&lt;&gt;"")*($D$10:$D$25&lt;=M194))+1,$E$10:$E$25,0)))</f>
        <v>Terminé</v>
      </c>
      <c r="O194" s="24" t="str">
        <f aca="false">IF(M194&gt;=TotalStations,"",INDEX($C$10:$C$25,MATCH(SUMPRODUCT(($A$10:$A$25&lt;&gt;"")*($D$10:$D$25&lt;=M194))+1,$E$10:$E$25,0)))</f>
        <v/>
      </c>
      <c r="P194" s="24" t="n">
        <f aca="false">IF(M194&gt;=TotalStations,0,MIN(FLOOR(420/O194,1),(TotalStations-M194)))</f>
        <v>0</v>
      </c>
      <c r="Q194" s="24" t="n">
        <f aca="false">M194+P194</f>
        <v>199</v>
      </c>
    </row>
    <row r="195" customFormat="false" ht="15" hidden="false" customHeight="true" outlineLevel="0" collapsed="false">
      <c r="A195" s="37" t="n">
        <f aca="false">WORKDAY(A194,1)</f>
        <v>46444</v>
      </c>
      <c r="B195" s="24" t="str">
        <f aca="false">IF(COUNTIF($B$5:$F$5,A195)&gt;0,"Dédié","Normal")</f>
        <v>Normal</v>
      </c>
      <c r="C195" s="24" t="n">
        <f aca="false">G194</f>
        <v>131</v>
      </c>
      <c r="D195" s="24" t="str">
        <f aca="false">IF(C195&gt;=TotalStations,"Terminé",INDEX($A$10:$A$25,MATCH(SUMPRODUCT(($A$10:$A$25&lt;&gt;"")*($D$10:$D$25&lt;=C195))+1,$E$10:$E$25,0)))</f>
        <v>P2R</v>
      </c>
      <c r="E195" s="24" t="n">
        <f aca="false">IF(C195&gt;=TotalStations,"",INDEX($C$10:$C$25,MATCH(SUMPRODUCT(($A$10:$A$25&lt;&gt;"")*($D$10:$D$25&lt;=C195))+1,$E$10:$E$25,0)))</f>
        <v>90</v>
      </c>
      <c r="F195" s="24" t="n">
        <f aca="false">IF(C195&gt;=TotalStations,0,IF(B195="Dédié",MIN(FLOOR(420/E195,1),(TotalStations-C195)),MIN(1,(TotalStations-C195))))</f>
        <v>1</v>
      </c>
      <c r="G195" s="24" t="n">
        <f aca="false">C195+F195</f>
        <v>132</v>
      </c>
      <c r="H195" s="24" t="n">
        <f aca="false">L194</f>
        <v>199</v>
      </c>
      <c r="I195" s="24" t="str">
        <f aca="false">IF(H195&gt;=TotalStations,"Terminé",INDEX($A$10:$A$25,MATCH(SUMPRODUCT(($A$10:$A$25&lt;&gt;"")*($D$10:$D$25&lt;=H195))+1,$E$10:$E$25,0)))</f>
        <v>Terminé</v>
      </c>
      <c r="J195" s="24" t="str">
        <f aca="false">IF(H195&gt;=TotalStations,"",INDEX($C$10:$C$25,MATCH(SUMPRODUCT(($A$10:$A$25&lt;&gt;"")*($D$10:$D$25&lt;=H195))+1,$E$10:$E$25,0)))</f>
        <v/>
      </c>
      <c r="K195" s="24" t="n">
        <f aca="false">IF(H195&gt;=TotalStations,0,IF(B195="Dédié",MIN(FLOOR(420/J195,1),(TotalStations-H195)),MIN(2,(TotalStations-H195))))</f>
        <v>0</v>
      </c>
      <c r="L195" s="24" t="n">
        <f aca="false">H195+K195</f>
        <v>199</v>
      </c>
      <c r="M195" s="24" t="n">
        <f aca="false">Q194</f>
        <v>199</v>
      </c>
      <c r="N195" s="24" t="str">
        <f aca="false">IF(M195&gt;=TotalStations,"Terminé",INDEX($A$10:$A$25,MATCH(SUMPRODUCT(($A$10:$A$25&lt;&gt;"")*($D$10:$D$25&lt;=M195))+1,$E$10:$E$25,0)))</f>
        <v>Terminé</v>
      </c>
      <c r="O195" s="24" t="str">
        <f aca="false">IF(M195&gt;=TotalStations,"",INDEX($C$10:$C$25,MATCH(SUMPRODUCT(($A$10:$A$25&lt;&gt;"")*($D$10:$D$25&lt;=M195))+1,$E$10:$E$25,0)))</f>
        <v/>
      </c>
      <c r="P195" s="24" t="n">
        <f aca="false">IF(M195&gt;=TotalStations,0,MIN(FLOOR(420/O195,1),(TotalStations-M195)))</f>
        <v>0</v>
      </c>
      <c r="Q195" s="24" t="n">
        <f aca="false">M195+P195</f>
        <v>199</v>
      </c>
    </row>
    <row r="196" customFormat="false" ht="15" hidden="false" customHeight="true" outlineLevel="0" collapsed="false">
      <c r="A196" s="37" t="n">
        <f aca="false">WORKDAY(A195,1)</f>
        <v>46447</v>
      </c>
      <c r="B196" s="24" t="str">
        <f aca="false">IF(COUNTIF($B$5:$F$5,A196)&gt;0,"Dédié","Normal")</f>
        <v>Normal</v>
      </c>
      <c r="C196" s="24" t="n">
        <f aca="false">G195</f>
        <v>132</v>
      </c>
      <c r="D196" s="24" t="str">
        <f aca="false">IF(C196&gt;=TotalStations,"Terminé",INDEX($A$10:$A$25,MATCH(SUMPRODUCT(($A$10:$A$25&lt;&gt;"")*($D$10:$D$25&lt;=C196))+1,$E$10:$E$25,0)))</f>
        <v>Jackpot</v>
      </c>
      <c r="E196" s="24" t="n">
        <f aca="false">IF(C196&gt;=TotalStations,"",INDEX($C$10:$C$25,MATCH(SUMPRODUCT(($A$10:$A$25&lt;&gt;"")*($D$10:$D$25&lt;=C196))+1,$E$10:$E$25,0)))</f>
        <v>180</v>
      </c>
      <c r="F196" s="24" t="n">
        <f aca="false">IF(C196&gt;=TotalStations,0,IF(B196="Dédié",MIN(FLOOR(420/E196,1),(TotalStations-C196)),MIN(1,(TotalStations-C196))))</f>
        <v>1</v>
      </c>
      <c r="G196" s="24" t="n">
        <f aca="false">C196+F196</f>
        <v>133</v>
      </c>
      <c r="H196" s="24" t="n">
        <f aca="false">L195</f>
        <v>199</v>
      </c>
      <c r="I196" s="24" t="str">
        <f aca="false">IF(H196&gt;=TotalStations,"Terminé",INDEX($A$10:$A$25,MATCH(SUMPRODUCT(($A$10:$A$25&lt;&gt;"")*($D$10:$D$25&lt;=H196))+1,$E$10:$E$25,0)))</f>
        <v>Terminé</v>
      </c>
      <c r="J196" s="24" t="str">
        <f aca="false">IF(H196&gt;=TotalStations,"",INDEX($C$10:$C$25,MATCH(SUMPRODUCT(($A$10:$A$25&lt;&gt;"")*($D$10:$D$25&lt;=H196))+1,$E$10:$E$25,0)))</f>
        <v/>
      </c>
      <c r="K196" s="24" t="n">
        <f aca="false">IF(H196&gt;=TotalStations,0,IF(B196="Dédié",MIN(FLOOR(420/J196,1),(TotalStations-H196)),MIN(2,(TotalStations-H196))))</f>
        <v>0</v>
      </c>
      <c r="L196" s="24" t="n">
        <f aca="false">H196+K196</f>
        <v>199</v>
      </c>
      <c r="M196" s="24" t="n">
        <f aca="false">Q195</f>
        <v>199</v>
      </c>
      <c r="N196" s="24" t="str">
        <f aca="false">IF(M196&gt;=TotalStations,"Terminé",INDEX($A$10:$A$25,MATCH(SUMPRODUCT(($A$10:$A$25&lt;&gt;"")*($D$10:$D$25&lt;=M196))+1,$E$10:$E$25,0)))</f>
        <v>Terminé</v>
      </c>
      <c r="O196" s="24" t="str">
        <f aca="false">IF(M196&gt;=TotalStations,"",INDEX($C$10:$C$25,MATCH(SUMPRODUCT(($A$10:$A$25&lt;&gt;"")*($D$10:$D$25&lt;=M196))+1,$E$10:$E$25,0)))</f>
        <v/>
      </c>
      <c r="P196" s="24" t="n">
        <f aca="false">IF(M196&gt;=TotalStations,0,MIN(FLOOR(420/O196,1),(TotalStations-M196)))</f>
        <v>0</v>
      </c>
      <c r="Q196" s="24" t="n">
        <f aca="false">M196+P196</f>
        <v>199</v>
      </c>
    </row>
    <row r="197" customFormat="false" ht="15" hidden="false" customHeight="true" outlineLevel="0" collapsed="false">
      <c r="A197" s="37" t="n">
        <f aca="false">WORKDAY(A196,1)</f>
        <v>46448</v>
      </c>
      <c r="B197" s="24" t="str">
        <f aca="false">IF(COUNTIF($B$5:$F$5,A197)&gt;0,"Dédié","Normal")</f>
        <v>Normal</v>
      </c>
      <c r="C197" s="24" t="n">
        <f aca="false">G196</f>
        <v>133</v>
      </c>
      <c r="D197" s="24" t="str">
        <f aca="false">IF(C197&gt;=TotalStations,"Terminé",INDEX($A$10:$A$25,MATCH(SUMPRODUCT(($A$10:$A$25&lt;&gt;"")*($D$10:$D$25&lt;=C197))+1,$E$10:$E$25,0)))</f>
        <v>Jackpot</v>
      </c>
      <c r="E197" s="24" t="n">
        <f aca="false">IF(C197&gt;=TotalStations,"",INDEX($C$10:$C$25,MATCH(SUMPRODUCT(($A$10:$A$25&lt;&gt;"")*($D$10:$D$25&lt;=C197))+1,$E$10:$E$25,0)))</f>
        <v>180</v>
      </c>
      <c r="F197" s="24" t="n">
        <f aca="false">IF(C197&gt;=TotalStations,0,IF(B197="Dédié",MIN(FLOOR(420/E197,1),(TotalStations-C197)),MIN(1,(TotalStations-C197))))</f>
        <v>1</v>
      </c>
      <c r="G197" s="24" t="n">
        <f aca="false">C197+F197</f>
        <v>134</v>
      </c>
      <c r="H197" s="24" t="n">
        <f aca="false">L196</f>
        <v>199</v>
      </c>
      <c r="I197" s="24" t="str">
        <f aca="false">IF(H197&gt;=TotalStations,"Terminé",INDEX($A$10:$A$25,MATCH(SUMPRODUCT(($A$10:$A$25&lt;&gt;"")*($D$10:$D$25&lt;=H197))+1,$E$10:$E$25,0)))</f>
        <v>Terminé</v>
      </c>
      <c r="J197" s="24" t="str">
        <f aca="false">IF(H197&gt;=TotalStations,"",INDEX($C$10:$C$25,MATCH(SUMPRODUCT(($A$10:$A$25&lt;&gt;"")*($D$10:$D$25&lt;=H197))+1,$E$10:$E$25,0)))</f>
        <v/>
      </c>
      <c r="K197" s="24" t="n">
        <f aca="false">IF(H197&gt;=TotalStations,0,IF(B197="Dédié",MIN(FLOOR(420/J197,1),(TotalStations-H197)),MIN(2,(TotalStations-H197))))</f>
        <v>0</v>
      </c>
      <c r="L197" s="24" t="n">
        <f aca="false">H197+K197</f>
        <v>199</v>
      </c>
      <c r="M197" s="24" t="n">
        <f aca="false">Q196</f>
        <v>199</v>
      </c>
      <c r="N197" s="24" t="str">
        <f aca="false">IF(M197&gt;=TotalStations,"Terminé",INDEX($A$10:$A$25,MATCH(SUMPRODUCT(($A$10:$A$25&lt;&gt;"")*($D$10:$D$25&lt;=M197))+1,$E$10:$E$25,0)))</f>
        <v>Terminé</v>
      </c>
      <c r="O197" s="24" t="str">
        <f aca="false">IF(M197&gt;=TotalStations,"",INDEX($C$10:$C$25,MATCH(SUMPRODUCT(($A$10:$A$25&lt;&gt;"")*($D$10:$D$25&lt;=M197))+1,$E$10:$E$25,0)))</f>
        <v/>
      </c>
      <c r="P197" s="24" t="n">
        <f aca="false">IF(M197&gt;=TotalStations,0,MIN(FLOOR(420/O197,1),(TotalStations-M197)))</f>
        <v>0</v>
      </c>
      <c r="Q197" s="24" t="n">
        <f aca="false">M197+P197</f>
        <v>199</v>
      </c>
    </row>
    <row r="198" customFormat="false" ht="15" hidden="false" customHeight="true" outlineLevel="0" collapsed="false">
      <c r="A198" s="37" t="n">
        <f aca="false">WORKDAY(A197,1)</f>
        <v>46449</v>
      </c>
      <c r="B198" s="24" t="str">
        <f aca="false">IF(COUNTIF($B$5:$F$5,A198)&gt;0,"Dédié","Normal")</f>
        <v>Normal</v>
      </c>
      <c r="C198" s="24" t="n">
        <f aca="false">G197</f>
        <v>134</v>
      </c>
      <c r="D198" s="24" t="str">
        <f aca="false">IF(C198&gt;=TotalStations,"Terminé",INDEX($A$10:$A$25,MATCH(SUMPRODUCT(($A$10:$A$25&lt;&gt;"")*($D$10:$D$25&lt;=C198))+1,$E$10:$E$25,0)))</f>
        <v>VRET</v>
      </c>
      <c r="E198" s="24" t="n">
        <f aca="false">IF(C198&gt;=TotalStations,"",INDEX($C$10:$C$25,MATCH(SUMPRODUCT(($A$10:$A$25&lt;&gt;"")*($D$10:$D$25&lt;=C198))+1,$E$10:$E$25,0)))</f>
        <v>150</v>
      </c>
      <c r="F198" s="24" t="n">
        <f aca="false">IF(C198&gt;=TotalStations,0,IF(B198="Dédié",MIN(FLOOR(420/E198,1),(TotalStations-C198)),MIN(1,(TotalStations-C198))))</f>
        <v>1</v>
      </c>
      <c r="G198" s="24" t="n">
        <f aca="false">C198+F198</f>
        <v>135</v>
      </c>
      <c r="H198" s="24" t="n">
        <f aca="false">L197</f>
        <v>199</v>
      </c>
      <c r="I198" s="24" t="str">
        <f aca="false">IF(H198&gt;=TotalStations,"Terminé",INDEX($A$10:$A$25,MATCH(SUMPRODUCT(($A$10:$A$25&lt;&gt;"")*($D$10:$D$25&lt;=H198))+1,$E$10:$E$25,0)))</f>
        <v>Terminé</v>
      </c>
      <c r="J198" s="24" t="str">
        <f aca="false">IF(H198&gt;=TotalStations,"",INDEX($C$10:$C$25,MATCH(SUMPRODUCT(($A$10:$A$25&lt;&gt;"")*($D$10:$D$25&lt;=H198))+1,$E$10:$E$25,0)))</f>
        <v/>
      </c>
      <c r="K198" s="24" t="n">
        <f aca="false">IF(H198&gt;=TotalStations,0,IF(B198="Dédié",MIN(FLOOR(420/J198,1),(TotalStations-H198)),MIN(2,(TotalStations-H198))))</f>
        <v>0</v>
      </c>
      <c r="L198" s="24" t="n">
        <f aca="false">H198+K198</f>
        <v>199</v>
      </c>
      <c r="M198" s="24" t="n">
        <f aca="false">Q197</f>
        <v>199</v>
      </c>
      <c r="N198" s="24" t="str">
        <f aca="false">IF(M198&gt;=TotalStations,"Terminé",INDEX($A$10:$A$25,MATCH(SUMPRODUCT(($A$10:$A$25&lt;&gt;"")*($D$10:$D$25&lt;=M198))+1,$E$10:$E$25,0)))</f>
        <v>Terminé</v>
      </c>
      <c r="O198" s="24" t="str">
        <f aca="false">IF(M198&gt;=TotalStations,"",INDEX($C$10:$C$25,MATCH(SUMPRODUCT(($A$10:$A$25&lt;&gt;"")*($D$10:$D$25&lt;=M198))+1,$E$10:$E$25,0)))</f>
        <v/>
      </c>
      <c r="P198" s="24" t="n">
        <f aca="false">IF(M198&gt;=TotalStations,0,MIN(FLOOR(420/O198,1),(TotalStations-M198)))</f>
        <v>0</v>
      </c>
      <c r="Q198" s="24" t="n">
        <f aca="false">M198+P198</f>
        <v>199</v>
      </c>
    </row>
    <row r="199" customFormat="false" ht="15" hidden="false" customHeight="true" outlineLevel="0" collapsed="false">
      <c r="A199" s="37" t="n">
        <f aca="false">WORKDAY(A198,1)</f>
        <v>46450</v>
      </c>
      <c r="B199" s="24" t="str">
        <f aca="false">IF(COUNTIF($B$5:$F$5,A199)&gt;0,"Dédié","Normal")</f>
        <v>Normal</v>
      </c>
      <c r="C199" s="24" t="n">
        <f aca="false">G198</f>
        <v>135</v>
      </c>
      <c r="D199" s="24" t="str">
        <f aca="false">IF(C199&gt;=TotalStations,"Terminé",INDEX($A$10:$A$25,MATCH(SUMPRODUCT(($A$10:$A$25&lt;&gt;"")*($D$10:$D$25&lt;=C199))+1,$E$10:$E$25,0)))</f>
        <v>VRET</v>
      </c>
      <c r="E199" s="24" t="n">
        <f aca="false">IF(C199&gt;=TotalStations,"",INDEX($C$10:$C$25,MATCH(SUMPRODUCT(($A$10:$A$25&lt;&gt;"")*($D$10:$D$25&lt;=C199))+1,$E$10:$E$25,0)))</f>
        <v>150</v>
      </c>
      <c r="F199" s="24" t="n">
        <f aca="false">IF(C199&gt;=TotalStations,0,IF(B199="Dédié",MIN(FLOOR(420/E199,1),(TotalStations-C199)),MIN(1,(TotalStations-C199))))</f>
        <v>1</v>
      </c>
      <c r="G199" s="24" t="n">
        <f aca="false">C199+F199</f>
        <v>136</v>
      </c>
      <c r="H199" s="24" t="n">
        <f aca="false">L198</f>
        <v>199</v>
      </c>
      <c r="I199" s="24" t="str">
        <f aca="false">IF(H199&gt;=TotalStations,"Terminé",INDEX($A$10:$A$25,MATCH(SUMPRODUCT(($A$10:$A$25&lt;&gt;"")*($D$10:$D$25&lt;=H199))+1,$E$10:$E$25,0)))</f>
        <v>Terminé</v>
      </c>
      <c r="J199" s="24" t="str">
        <f aca="false">IF(H199&gt;=TotalStations,"",INDEX($C$10:$C$25,MATCH(SUMPRODUCT(($A$10:$A$25&lt;&gt;"")*($D$10:$D$25&lt;=H199))+1,$E$10:$E$25,0)))</f>
        <v/>
      </c>
      <c r="K199" s="24" t="n">
        <f aca="false">IF(H199&gt;=TotalStations,0,IF(B199="Dédié",MIN(FLOOR(420/J199,1),(TotalStations-H199)),MIN(2,(TotalStations-H199))))</f>
        <v>0</v>
      </c>
      <c r="L199" s="24" t="n">
        <f aca="false">H199+K199</f>
        <v>199</v>
      </c>
      <c r="M199" s="24" t="n">
        <f aca="false">Q198</f>
        <v>199</v>
      </c>
      <c r="N199" s="24" t="str">
        <f aca="false">IF(M199&gt;=TotalStations,"Terminé",INDEX($A$10:$A$25,MATCH(SUMPRODUCT(($A$10:$A$25&lt;&gt;"")*($D$10:$D$25&lt;=M199))+1,$E$10:$E$25,0)))</f>
        <v>Terminé</v>
      </c>
      <c r="O199" s="24" t="str">
        <f aca="false">IF(M199&gt;=TotalStations,"",INDEX($C$10:$C$25,MATCH(SUMPRODUCT(($A$10:$A$25&lt;&gt;"")*($D$10:$D$25&lt;=M199))+1,$E$10:$E$25,0)))</f>
        <v/>
      </c>
      <c r="P199" s="24" t="n">
        <f aca="false">IF(M199&gt;=TotalStations,0,MIN(FLOOR(420/O199,1),(TotalStations-M199)))</f>
        <v>0</v>
      </c>
      <c r="Q199" s="24" t="n">
        <f aca="false">M199+P199</f>
        <v>199</v>
      </c>
    </row>
    <row r="200" customFormat="false" ht="15" hidden="false" customHeight="true" outlineLevel="0" collapsed="false">
      <c r="A200" s="37" t="n">
        <f aca="false">WORKDAY(A199,1)</f>
        <v>46451</v>
      </c>
      <c r="B200" s="24" t="str">
        <f aca="false">IF(COUNTIF($B$5:$F$5,A200)&gt;0,"Dédié","Normal")</f>
        <v>Normal</v>
      </c>
      <c r="C200" s="24" t="n">
        <f aca="false">G199</f>
        <v>136</v>
      </c>
      <c r="D200" s="24" t="str">
        <f aca="false">IF(C200&gt;=TotalStations,"Terminé",INDEX($A$10:$A$25,MATCH(SUMPRODUCT(($A$10:$A$25&lt;&gt;"")*($D$10:$D$25&lt;=C200))+1,$E$10:$E$25,0)))</f>
        <v>VRET</v>
      </c>
      <c r="E200" s="24" t="n">
        <f aca="false">IF(C200&gt;=TotalStations,"",INDEX($C$10:$C$25,MATCH(SUMPRODUCT(($A$10:$A$25&lt;&gt;"")*($D$10:$D$25&lt;=C200))+1,$E$10:$E$25,0)))</f>
        <v>150</v>
      </c>
      <c r="F200" s="24" t="n">
        <f aca="false">IF(C200&gt;=TotalStations,0,IF(B200="Dédié",MIN(FLOOR(420/E200,1),(TotalStations-C200)),MIN(1,(TotalStations-C200))))</f>
        <v>1</v>
      </c>
      <c r="G200" s="24" t="n">
        <f aca="false">C200+F200</f>
        <v>137</v>
      </c>
      <c r="H200" s="24" t="n">
        <f aca="false">L199</f>
        <v>199</v>
      </c>
      <c r="I200" s="24" t="str">
        <f aca="false">IF(H200&gt;=TotalStations,"Terminé",INDEX($A$10:$A$25,MATCH(SUMPRODUCT(($A$10:$A$25&lt;&gt;"")*($D$10:$D$25&lt;=H200))+1,$E$10:$E$25,0)))</f>
        <v>Terminé</v>
      </c>
      <c r="J200" s="24" t="str">
        <f aca="false">IF(H200&gt;=TotalStations,"",INDEX($C$10:$C$25,MATCH(SUMPRODUCT(($A$10:$A$25&lt;&gt;"")*($D$10:$D$25&lt;=H200))+1,$E$10:$E$25,0)))</f>
        <v/>
      </c>
      <c r="K200" s="24" t="n">
        <f aca="false">IF(H200&gt;=TotalStations,0,IF(B200="Dédié",MIN(FLOOR(420/J200,1),(TotalStations-H200)),MIN(2,(TotalStations-H200))))</f>
        <v>0</v>
      </c>
      <c r="L200" s="24" t="n">
        <f aca="false">H200+K200</f>
        <v>199</v>
      </c>
      <c r="M200" s="24" t="n">
        <f aca="false">Q199</f>
        <v>199</v>
      </c>
      <c r="N200" s="24" t="str">
        <f aca="false">IF(M200&gt;=TotalStations,"Terminé",INDEX($A$10:$A$25,MATCH(SUMPRODUCT(($A$10:$A$25&lt;&gt;"")*($D$10:$D$25&lt;=M200))+1,$E$10:$E$25,0)))</f>
        <v>Terminé</v>
      </c>
      <c r="O200" s="24" t="str">
        <f aca="false">IF(M200&gt;=TotalStations,"",INDEX($C$10:$C$25,MATCH(SUMPRODUCT(($A$10:$A$25&lt;&gt;"")*($D$10:$D$25&lt;=M200))+1,$E$10:$E$25,0)))</f>
        <v/>
      </c>
      <c r="P200" s="24" t="n">
        <f aca="false">IF(M200&gt;=TotalStations,0,MIN(FLOOR(420/O200,1),(TotalStations-M200)))</f>
        <v>0</v>
      </c>
      <c r="Q200" s="24" t="n">
        <f aca="false">M200+P200</f>
        <v>199</v>
      </c>
    </row>
    <row r="201" customFormat="false" ht="15" hidden="false" customHeight="true" outlineLevel="0" collapsed="false">
      <c r="A201" s="37" t="n">
        <f aca="false">WORKDAY(A200,1)</f>
        <v>46454</v>
      </c>
      <c r="B201" s="24" t="str">
        <f aca="false">IF(COUNTIF($B$5:$F$5,A201)&gt;0,"Dédié","Normal")</f>
        <v>Normal</v>
      </c>
      <c r="C201" s="24" t="n">
        <f aca="false">G200</f>
        <v>137</v>
      </c>
      <c r="D201" s="24" t="str">
        <f aca="false">IF(C201&gt;=TotalStations,"Terminé",INDEX($A$10:$A$25,MATCH(SUMPRODUCT(($A$10:$A$25&lt;&gt;"")*($D$10:$D$25&lt;=C201))+1,$E$10:$E$25,0)))</f>
        <v>VRET</v>
      </c>
      <c r="E201" s="24" t="n">
        <f aca="false">IF(C201&gt;=TotalStations,"",INDEX($C$10:$C$25,MATCH(SUMPRODUCT(($A$10:$A$25&lt;&gt;"")*($D$10:$D$25&lt;=C201))+1,$E$10:$E$25,0)))</f>
        <v>150</v>
      </c>
      <c r="F201" s="24" t="n">
        <f aca="false">IF(C201&gt;=TotalStations,0,IF(B201="Dédié",MIN(FLOOR(420/E201,1),(TotalStations-C201)),MIN(1,(TotalStations-C201))))</f>
        <v>1</v>
      </c>
      <c r="G201" s="24" t="n">
        <f aca="false">C201+F201</f>
        <v>138</v>
      </c>
      <c r="H201" s="24" t="n">
        <f aca="false">L200</f>
        <v>199</v>
      </c>
      <c r="I201" s="24" t="str">
        <f aca="false">IF(H201&gt;=TotalStations,"Terminé",INDEX($A$10:$A$25,MATCH(SUMPRODUCT(($A$10:$A$25&lt;&gt;"")*($D$10:$D$25&lt;=H201))+1,$E$10:$E$25,0)))</f>
        <v>Terminé</v>
      </c>
      <c r="J201" s="24" t="str">
        <f aca="false">IF(H201&gt;=TotalStations,"",INDEX($C$10:$C$25,MATCH(SUMPRODUCT(($A$10:$A$25&lt;&gt;"")*($D$10:$D$25&lt;=H201))+1,$E$10:$E$25,0)))</f>
        <v/>
      </c>
      <c r="K201" s="24" t="n">
        <f aca="false">IF(H201&gt;=TotalStations,0,IF(B201="Dédié",MIN(FLOOR(420/J201,1),(TotalStations-H201)),MIN(2,(TotalStations-H201))))</f>
        <v>0</v>
      </c>
      <c r="L201" s="24" t="n">
        <f aca="false">H201+K201</f>
        <v>199</v>
      </c>
      <c r="M201" s="24" t="n">
        <f aca="false">Q200</f>
        <v>199</v>
      </c>
      <c r="N201" s="24" t="str">
        <f aca="false">IF(M201&gt;=TotalStations,"Terminé",INDEX($A$10:$A$25,MATCH(SUMPRODUCT(($A$10:$A$25&lt;&gt;"")*($D$10:$D$25&lt;=M201))+1,$E$10:$E$25,0)))</f>
        <v>Terminé</v>
      </c>
      <c r="O201" s="24" t="str">
        <f aca="false">IF(M201&gt;=TotalStations,"",INDEX($C$10:$C$25,MATCH(SUMPRODUCT(($A$10:$A$25&lt;&gt;"")*($D$10:$D$25&lt;=M201))+1,$E$10:$E$25,0)))</f>
        <v/>
      </c>
      <c r="P201" s="24" t="n">
        <f aca="false">IF(M201&gt;=TotalStations,0,MIN(FLOOR(420/O201,1),(TotalStations-M201)))</f>
        <v>0</v>
      </c>
      <c r="Q201" s="24" t="n">
        <f aca="false">M201+P201</f>
        <v>199</v>
      </c>
    </row>
    <row r="202" customFormat="false" ht="15" hidden="false" customHeight="true" outlineLevel="0" collapsed="false">
      <c r="A202" s="37" t="n">
        <f aca="false">WORKDAY(A201,1)</f>
        <v>46455</v>
      </c>
      <c r="B202" s="24" t="str">
        <f aca="false">IF(COUNTIF($B$5:$F$5,A202)&gt;0,"Dédié","Normal")</f>
        <v>Normal</v>
      </c>
      <c r="C202" s="24" t="n">
        <f aca="false">G201</f>
        <v>138</v>
      </c>
      <c r="D202" s="24" t="str">
        <f aca="false">IF(C202&gt;=TotalStations,"Terminé",INDEX($A$10:$A$25,MATCH(SUMPRODUCT(($A$10:$A$25&lt;&gt;"")*($D$10:$D$25&lt;=C202))+1,$E$10:$E$25,0)))</f>
        <v>GiftWrap</v>
      </c>
      <c r="E202" s="24" t="n">
        <f aca="false">IF(C202&gt;=TotalStations,"",INDEX($C$10:$C$25,MATCH(SUMPRODUCT(($A$10:$A$25&lt;&gt;"")*($D$10:$D$25&lt;=C202))+1,$E$10:$E$25,0)))</f>
        <v>150</v>
      </c>
      <c r="F202" s="24" t="n">
        <f aca="false">IF(C202&gt;=TotalStations,0,IF(B202="Dédié",MIN(FLOOR(420/E202,1),(TotalStations-C202)),MIN(1,(TotalStations-C202))))</f>
        <v>1</v>
      </c>
      <c r="G202" s="24" t="n">
        <f aca="false">C202+F202</f>
        <v>139</v>
      </c>
      <c r="H202" s="24" t="n">
        <f aca="false">L201</f>
        <v>199</v>
      </c>
      <c r="I202" s="24" t="str">
        <f aca="false">IF(H202&gt;=TotalStations,"Terminé",INDEX($A$10:$A$25,MATCH(SUMPRODUCT(($A$10:$A$25&lt;&gt;"")*($D$10:$D$25&lt;=H202))+1,$E$10:$E$25,0)))</f>
        <v>Terminé</v>
      </c>
      <c r="J202" s="24" t="str">
        <f aca="false">IF(H202&gt;=TotalStations,"",INDEX($C$10:$C$25,MATCH(SUMPRODUCT(($A$10:$A$25&lt;&gt;"")*($D$10:$D$25&lt;=H202))+1,$E$10:$E$25,0)))</f>
        <v/>
      </c>
      <c r="K202" s="24" t="n">
        <f aca="false">IF(H202&gt;=TotalStations,0,IF(B202="Dédié",MIN(FLOOR(420/J202,1),(TotalStations-H202)),MIN(2,(TotalStations-H202))))</f>
        <v>0</v>
      </c>
      <c r="L202" s="24" t="n">
        <f aca="false">H202+K202</f>
        <v>199</v>
      </c>
      <c r="M202" s="24" t="n">
        <f aca="false">Q201</f>
        <v>199</v>
      </c>
      <c r="N202" s="24" t="str">
        <f aca="false">IF(M202&gt;=TotalStations,"Terminé",INDEX($A$10:$A$25,MATCH(SUMPRODUCT(($A$10:$A$25&lt;&gt;"")*($D$10:$D$25&lt;=M202))+1,$E$10:$E$25,0)))</f>
        <v>Terminé</v>
      </c>
      <c r="O202" s="24" t="str">
        <f aca="false">IF(M202&gt;=TotalStations,"",INDEX($C$10:$C$25,MATCH(SUMPRODUCT(($A$10:$A$25&lt;&gt;"")*($D$10:$D$25&lt;=M202))+1,$E$10:$E$25,0)))</f>
        <v/>
      </c>
      <c r="P202" s="24" t="n">
        <f aca="false">IF(M202&gt;=TotalStations,0,MIN(FLOOR(420/O202,1),(TotalStations-M202)))</f>
        <v>0</v>
      </c>
      <c r="Q202" s="24" t="n">
        <f aca="false">M202+P202</f>
        <v>199</v>
      </c>
    </row>
    <row r="203" customFormat="false" ht="15" hidden="false" customHeight="true" outlineLevel="0" collapsed="false">
      <c r="A203" s="37" t="n">
        <f aca="false">WORKDAY(A202,1)</f>
        <v>46456</v>
      </c>
      <c r="B203" s="24" t="str">
        <f aca="false">IF(COUNTIF($B$5:$F$5,A203)&gt;0,"Dédié","Normal")</f>
        <v>Normal</v>
      </c>
      <c r="C203" s="24" t="n">
        <f aca="false">G202</f>
        <v>139</v>
      </c>
      <c r="D203" s="24" t="str">
        <f aca="false">IF(C203&gt;=TotalStations,"Terminé",INDEX($A$10:$A$25,MATCH(SUMPRODUCT(($A$10:$A$25&lt;&gt;"")*($D$10:$D$25&lt;=C203))+1,$E$10:$E$25,0)))</f>
        <v>GiftWrap</v>
      </c>
      <c r="E203" s="24" t="n">
        <f aca="false">IF(C203&gt;=TotalStations,"",INDEX($C$10:$C$25,MATCH(SUMPRODUCT(($A$10:$A$25&lt;&gt;"")*($D$10:$D$25&lt;=C203))+1,$E$10:$E$25,0)))</f>
        <v>150</v>
      </c>
      <c r="F203" s="24" t="n">
        <f aca="false">IF(C203&gt;=TotalStations,0,IF(B203="Dédié",MIN(FLOOR(420/E203,1),(TotalStations-C203)),MIN(1,(TotalStations-C203))))</f>
        <v>1</v>
      </c>
      <c r="G203" s="24" t="n">
        <f aca="false">C203+F203</f>
        <v>140</v>
      </c>
      <c r="H203" s="24" t="n">
        <f aca="false">L202</f>
        <v>199</v>
      </c>
      <c r="I203" s="24" t="str">
        <f aca="false">IF(H203&gt;=TotalStations,"Terminé",INDEX($A$10:$A$25,MATCH(SUMPRODUCT(($A$10:$A$25&lt;&gt;"")*($D$10:$D$25&lt;=H203))+1,$E$10:$E$25,0)))</f>
        <v>Terminé</v>
      </c>
      <c r="J203" s="24" t="str">
        <f aca="false">IF(H203&gt;=TotalStations,"",INDEX($C$10:$C$25,MATCH(SUMPRODUCT(($A$10:$A$25&lt;&gt;"")*($D$10:$D$25&lt;=H203))+1,$E$10:$E$25,0)))</f>
        <v/>
      </c>
      <c r="K203" s="24" t="n">
        <f aca="false">IF(H203&gt;=TotalStations,0,IF(B203="Dédié",MIN(FLOOR(420/J203,1),(TotalStations-H203)),MIN(2,(TotalStations-H203))))</f>
        <v>0</v>
      </c>
      <c r="L203" s="24" t="n">
        <f aca="false">H203+K203</f>
        <v>199</v>
      </c>
      <c r="M203" s="24" t="n">
        <f aca="false">Q202</f>
        <v>199</v>
      </c>
      <c r="N203" s="24" t="str">
        <f aca="false">IF(M203&gt;=TotalStations,"Terminé",INDEX($A$10:$A$25,MATCH(SUMPRODUCT(($A$10:$A$25&lt;&gt;"")*($D$10:$D$25&lt;=M203))+1,$E$10:$E$25,0)))</f>
        <v>Terminé</v>
      </c>
      <c r="O203" s="24" t="str">
        <f aca="false">IF(M203&gt;=TotalStations,"",INDEX($C$10:$C$25,MATCH(SUMPRODUCT(($A$10:$A$25&lt;&gt;"")*($D$10:$D$25&lt;=M203))+1,$E$10:$E$25,0)))</f>
        <v/>
      </c>
      <c r="P203" s="24" t="n">
        <f aca="false">IF(M203&gt;=TotalStations,0,MIN(FLOOR(420/O203,1),(TotalStations-M203)))</f>
        <v>0</v>
      </c>
      <c r="Q203" s="24" t="n">
        <f aca="false">M203+P203</f>
        <v>199</v>
      </c>
    </row>
    <row r="204" customFormat="false" ht="15" hidden="false" customHeight="true" outlineLevel="0" collapsed="false">
      <c r="A204" s="37" t="n">
        <f aca="false">WORKDAY(A203,1)</f>
        <v>46457</v>
      </c>
      <c r="B204" s="24" t="str">
        <f aca="false">IF(COUNTIF($B$5:$F$5,A204)&gt;0,"Dédié","Normal")</f>
        <v>Normal</v>
      </c>
      <c r="C204" s="24" t="n">
        <f aca="false">G203</f>
        <v>140</v>
      </c>
      <c r="D204" s="24" t="str">
        <f aca="false">IF(C204&gt;=TotalStations,"Terminé",INDEX($A$10:$A$25,MATCH(SUMPRODUCT(($A$10:$A$25&lt;&gt;"")*($D$10:$D$25&lt;=C204))+1,$E$10:$E$25,0)))</f>
        <v>GiftWrap</v>
      </c>
      <c r="E204" s="24" t="n">
        <f aca="false">IF(C204&gt;=TotalStations,"",INDEX($C$10:$C$25,MATCH(SUMPRODUCT(($A$10:$A$25&lt;&gt;"")*($D$10:$D$25&lt;=C204))+1,$E$10:$E$25,0)))</f>
        <v>150</v>
      </c>
      <c r="F204" s="24" t="n">
        <f aca="false">IF(C204&gt;=TotalStations,0,IF(B204="Dédié",MIN(FLOOR(420/E204,1),(TotalStations-C204)),MIN(1,(TotalStations-C204))))</f>
        <v>1</v>
      </c>
      <c r="G204" s="24" t="n">
        <f aca="false">C204+F204</f>
        <v>141</v>
      </c>
      <c r="H204" s="24" t="n">
        <f aca="false">L203</f>
        <v>199</v>
      </c>
      <c r="I204" s="24" t="str">
        <f aca="false">IF(H204&gt;=TotalStations,"Terminé",INDEX($A$10:$A$25,MATCH(SUMPRODUCT(($A$10:$A$25&lt;&gt;"")*($D$10:$D$25&lt;=H204))+1,$E$10:$E$25,0)))</f>
        <v>Terminé</v>
      </c>
      <c r="J204" s="24" t="str">
        <f aca="false">IF(H204&gt;=TotalStations,"",INDEX($C$10:$C$25,MATCH(SUMPRODUCT(($A$10:$A$25&lt;&gt;"")*($D$10:$D$25&lt;=H204))+1,$E$10:$E$25,0)))</f>
        <v/>
      </c>
      <c r="K204" s="24" t="n">
        <f aca="false">IF(H204&gt;=TotalStations,0,IF(B204="Dédié",MIN(FLOOR(420/J204,1),(TotalStations-H204)),MIN(2,(TotalStations-H204))))</f>
        <v>0</v>
      </c>
      <c r="L204" s="24" t="n">
        <f aca="false">H204+K204</f>
        <v>199</v>
      </c>
      <c r="M204" s="24" t="n">
        <f aca="false">Q203</f>
        <v>199</v>
      </c>
      <c r="N204" s="24" t="str">
        <f aca="false">IF(M204&gt;=TotalStations,"Terminé",INDEX($A$10:$A$25,MATCH(SUMPRODUCT(($A$10:$A$25&lt;&gt;"")*($D$10:$D$25&lt;=M204))+1,$E$10:$E$25,0)))</f>
        <v>Terminé</v>
      </c>
      <c r="O204" s="24" t="str">
        <f aca="false">IF(M204&gt;=TotalStations,"",INDEX($C$10:$C$25,MATCH(SUMPRODUCT(($A$10:$A$25&lt;&gt;"")*($D$10:$D$25&lt;=M204))+1,$E$10:$E$25,0)))</f>
        <v/>
      </c>
      <c r="P204" s="24" t="n">
        <f aca="false">IF(M204&gt;=TotalStations,0,MIN(FLOOR(420/O204,1),(TotalStations-M204)))</f>
        <v>0</v>
      </c>
      <c r="Q204" s="24" t="n">
        <f aca="false">M204+P204</f>
        <v>199</v>
      </c>
    </row>
    <row r="205" customFormat="false" ht="15" hidden="false" customHeight="true" outlineLevel="0" collapsed="false">
      <c r="A205" s="37" t="n">
        <f aca="false">WORKDAY(A204,1)</f>
        <v>46458</v>
      </c>
      <c r="B205" s="24" t="str">
        <f aca="false">IF(COUNTIF($B$5:$F$5,A205)&gt;0,"Dédié","Normal")</f>
        <v>Normal</v>
      </c>
      <c r="C205" s="24" t="n">
        <f aca="false">G204</f>
        <v>141</v>
      </c>
      <c r="D205" s="24" t="str">
        <f aca="false">IF(C205&gt;=TotalStations,"Terminé",INDEX($A$10:$A$25,MATCH(SUMPRODUCT(($A$10:$A$25&lt;&gt;"")*($D$10:$D$25&lt;=C205))+1,$E$10:$E$25,0)))</f>
        <v>GiftWrap</v>
      </c>
      <c r="E205" s="24" t="n">
        <f aca="false">IF(C205&gt;=TotalStations,"",INDEX($C$10:$C$25,MATCH(SUMPRODUCT(($A$10:$A$25&lt;&gt;"")*($D$10:$D$25&lt;=C205))+1,$E$10:$E$25,0)))</f>
        <v>150</v>
      </c>
      <c r="F205" s="24" t="n">
        <f aca="false">IF(C205&gt;=TotalStations,0,IF(B205="Dédié",MIN(FLOOR(420/E205,1),(TotalStations-C205)),MIN(1,(TotalStations-C205))))</f>
        <v>1</v>
      </c>
      <c r="G205" s="24" t="n">
        <f aca="false">C205+F205</f>
        <v>142</v>
      </c>
      <c r="H205" s="24" t="n">
        <f aca="false">L204</f>
        <v>199</v>
      </c>
      <c r="I205" s="24" t="str">
        <f aca="false">IF(H205&gt;=TotalStations,"Terminé",INDEX($A$10:$A$25,MATCH(SUMPRODUCT(($A$10:$A$25&lt;&gt;"")*($D$10:$D$25&lt;=H205))+1,$E$10:$E$25,0)))</f>
        <v>Terminé</v>
      </c>
      <c r="J205" s="24" t="str">
        <f aca="false">IF(H205&gt;=TotalStations,"",INDEX($C$10:$C$25,MATCH(SUMPRODUCT(($A$10:$A$25&lt;&gt;"")*($D$10:$D$25&lt;=H205))+1,$E$10:$E$25,0)))</f>
        <v/>
      </c>
      <c r="K205" s="24" t="n">
        <f aca="false">IF(H205&gt;=TotalStations,0,IF(B205="Dédié",MIN(FLOOR(420/J205,1),(TotalStations-H205)),MIN(2,(TotalStations-H205))))</f>
        <v>0</v>
      </c>
      <c r="L205" s="24" t="n">
        <f aca="false">H205+K205</f>
        <v>199</v>
      </c>
      <c r="M205" s="24" t="n">
        <f aca="false">Q204</f>
        <v>199</v>
      </c>
      <c r="N205" s="24" t="str">
        <f aca="false">IF(M205&gt;=TotalStations,"Terminé",INDEX($A$10:$A$25,MATCH(SUMPRODUCT(($A$10:$A$25&lt;&gt;"")*($D$10:$D$25&lt;=M205))+1,$E$10:$E$25,0)))</f>
        <v>Terminé</v>
      </c>
      <c r="O205" s="24" t="str">
        <f aca="false">IF(M205&gt;=TotalStations,"",INDEX($C$10:$C$25,MATCH(SUMPRODUCT(($A$10:$A$25&lt;&gt;"")*($D$10:$D$25&lt;=M205))+1,$E$10:$E$25,0)))</f>
        <v/>
      </c>
      <c r="P205" s="24" t="n">
        <f aca="false">IF(M205&gt;=TotalStations,0,MIN(FLOOR(420/O205,1),(TotalStations-M205)))</f>
        <v>0</v>
      </c>
      <c r="Q205" s="24" t="n">
        <f aca="false">M205+P205</f>
        <v>199</v>
      </c>
    </row>
    <row r="206" customFormat="false" ht="15" hidden="false" customHeight="true" outlineLevel="0" collapsed="false">
      <c r="A206" s="37" t="n">
        <f aca="false">WORKDAY(A205,1)</f>
        <v>46461</v>
      </c>
      <c r="B206" s="24" t="str">
        <f aca="false">IF(COUNTIF($B$5:$F$5,A206)&gt;0,"Dédié","Normal")</f>
        <v>Normal</v>
      </c>
      <c r="C206" s="24" t="n">
        <f aca="false">G205</f>
        <v>142</v>
      </c>
      <c r="D206" s="24" t="str">
        <f aca="false">IF(C206&gt;=TotalStations,"Terminé",INDEX($A$10:$A$25,MATCH(SUMPRODUCT(($A$10:$A$25&lt;&gt;"")*($D$10:$D$25&lt;=C206))+1,$E$10:$E$25,0)))</f>
        <v>GiftWrap</v>
      </c>
      <c r="E206" s="24" t="n">
        <f aca="false">IF(C206&gt;=TotalStations,"",INDEX($C$10:$C$25,MATCH(SUMPRODUCT(($A$10:$A$25&lt;&gt;"")*($D$10:$D$25&lt;=C206))+1,$E$10:$E$25,0)))</f>
        <v>150</v>
      </c>
      <c r="F206" s="24" t="n">
        <f aca="false">IF(C206&gt;=TotalStations,0,IF(B206="Dédié",MIN(FLOOR(420/E206,1),(TotalStations-C206)),MIN(1,(TotalStations-C206))))</f>
        <v>1</v>
      </c>
      <c r="G206" s="24" t="n">
        <f aca="false">C206+F206</f>
        <v>143</v>
      </c>
      <c r="H206" s="24" t="n">
        <f aca="false">L205</f>
        <v>199</v>
      </c>
      <c r="I206" s="24" t="str">
        <f aca="false">IF(H206&gt;=TotalStations,"Terminé",INDEX($A$10:$A$25,MATCH(SUMPRODUCT(($A$10:$A$25&lt;&gt;"")*($D$10:$D$25&lt;=H206))+1,$E$10:$E$25,0)))</f>
        <v>Terminé</v>
      </c>
      <c r="J206" s="24" t="str">
        <f aca="false">IF(H206&gt;=TotalStations,"",INDEX($C$10:$C$25,MATCH(SUMPRODUCT(($A$10:$A$25&lt;&gt;"")*($D$10:$D$25&lt;=H206))+1,$E$10:$E$25,0)))</f>
        <v/>
      </c>
      <c r="K206" s="24" t="n">
        <f aca="false">IF(H206&gt;=TotalStations,0,IF(B206="Dédié",MIN(FLOOR(420/J206,1),(TotalStations-H206)),MIN(2,(TotalStations-H206))))</f>
        <v>0</v>
      </c>
      <c r="L206" s="24" t="n">
        <f aca="false">H206+K206</f>
        <v>199</v>
      </c>
      <c r="M206" s="24" t="n">
        <f aca="false">Q205</f>
        <v>199</v>
      </c>
      <c r="N206" s="24" t="str">
        <f aca="false">IF(M206&gt;=TotalStations,"Terminé",INDEX($A$10:$A$25,MATCH(SUMPRODUCT(($A$10:$A$25&lt;&gt;"")*($D$10:$D$25&lt;=M206))+1,$E$10:$E$25,0)))</f>
        <v>Terminé</v>
      </c>
      <c r="O206" s="24" t="str">
        <f aca="false">IF(M206&gt;=TotalStations,"",INDEX($C$10:$C$25,MATCH(SUMPRODUCT(($A$10:$A$25&lt;&gt;"")*($D$10:$D$25&lt;=M206))+1,$E$10:$E$25,0)))</f>
        <v/>
      </c>
      <c r="P206" s="24" t="n">
        <f aca="false">IF(M206&gt;=TotalStations,0,MIN(FLOOR(420/O206,1),(TotalStations-M206)))</f>
        <v>0</v>
      </c>
      <c r="Q206" s="24" t="n">
        <f aca="false">M206+P206</f>
        <v>199</v>
      </c>
    </row>
    <row r="207" customFormat="false" ht="15" hidden="false" customHeight="true" outlineLevel="0" collapsed="false">
      <c r="A207" s="37" t="n">
        <f aca="false">WORKDAY(A206,1)</f>
        <v>46462</v>
      </c>
      <c r="B207" s="24" t="str">
        <f aca="false">IF(COUNTIF($B$5:$F$5,A207)&gt;0,"Dédié","Normal")</f>
        <v>Normal</v>
      </c>
      <c r="C207" s="24" t="n">
        <f aca="false">G206</f>
        <v>143</v>
      </c>
      <c r="D207" s="24" t="str">
        <f aca="false">IF(C207&gt;=TotalStations,"Terminé",INDEX($A$10:$A$25,MATCH(SUMPRODUCT(($A$10:$A$25&lt;&gt;"")*($D$10:$D$25&lt;=C207))+1,$E$10:$E$25,0)))</f>
        <v>GiftWrap</v>
      </c>
      <c r="E207" s="24" t="n">
        <f aca="false">IF(C207&gt;=TotalStations,"",INDEX($C$10:$C$25,MATCH(SUMPRODUCT(($A$10:$A$25&lt;&gt;"")*($D$10:$D$25&lt;=C207))+1,$E$10:$E$25,0)))</f>
        <v>150</v>
      </c>
      <c r="F207" s="24" t="n">
        <f aca="false">IF(C207&gt;=TotalStations,0,IF(B207="Dédié",MIN(FLOOR(420/E207,1),(TotalStations-C207)),MIN(1,(TotalStations-C207))))</f>
        <v>1</v>
      </c>
      <c r="G207" s="24" t="n">
        <f aca="false">C207+F207</f>
        <v>144</v>
      </c>
      <c r="H207" s="24" t="n">
        <f aca="false">L206</f>
        <v>199</v>
      </c>
      <c r="I207" s="24" t="str">
        <f aca="false">IF(H207&gt;=TotalStations,"Terminé",INDEX($A$10:$A$25,MATCH(SUMPRODUCT(($A$10:$A$25&lt;&gt;"")*($D$10:$D$25&lt;=H207))+1,$E$10:$E$25,0)))</f>
        <v>Terminé</v>
      </c>
      <c r="J207" s="24" t="str">
        <f aca="false">IF(H207&gt;=TotalStations,"",INDEX($C$10:$C$25,MATCH(SUMPRODUCT(($A$10:$A$25&lt;&gt;"")*($D$10:$D$25&lt;=H207))+1,$E$10:$E$25,0)))</f>
        <v/>
      </c>
      <c r="K207" s="24" t="n">
        <f aca="false">IF(H207&gt;=TotalStations,0,IF(B207="Dédié",MIN(FLOOR(420/J207,1),(TotalStations-H207)),MIN(2,(TotalStations-H207))))</f>
        <v>0</v>
      </c>
      <c r="L207" s="24" t="n">
        <f aca="false">H207+K207</f>
        <v>199</v>
      </c>
      <c r="M207" s="24" t="n">
        <f aca="false">Q206</f>
        <v>199</v>
      </c>
      <c r="N207" s="24" t="str">
        <f aca="false">IF(M207&gt;=TotalStations,"Terminé",INDEX($A$10:$A$25,MATCH(SUMPRODUCT(($A$10:$A$25&lt;&gt;"")*($D$10:$D$25&lt;=M207))+1,$E$10:$E$25,0)))</f>
        <v>Terminé</v>
      </c>
      <c r="O207" s="24" t="str">
        <f aca="false">IF(M207&gt;=TotalStations,"",INDEX($C$10:$C$25,MATCH(SUMPRODUCT(($A$10:$A$25&lt;&gt;"")*($D$10:$D$25&lt;=M207))+1,$E$10:$E$25,0)))</f>
        <v/>
      </c>
      <c r="P207" s="24" t="n">
        <f aca="false">IF(M207&gt;=TotalStations,0,MIN(FLOOR(420/O207,1),(TotalStations-M207)))</f>
        <v>0</v>
      </c>
      <c r="Q207" s="24" t="n">
        <f aca="false">M207+P207</f>
        <v>199</v>
      </c>
    </row>
    <row r="208" customFormat="false" ht="15" hidden="false" customHeight="true" outlineLevel="0" collapsed="false">
      <c r="A208" s="37" t="n">
        <f aca="false">WORKDAY(A207,1)</f>
        <v>46463</v>
      </c>
      <c r="B208" s="24" t="str">
        <f aca="false">IF(COUNTIF($B$5:$F$5,A208)&gt;0,"Dédié","Normal")</f>
        <v>Normal</v>
      </c>
      <c r="C208" s="24" t="n">
        <f aca="false">G207</f>
        <v>144</v>
      </c>
      <c r="D208" s="24" t="str">
        <f aca="false">IF(C208&gt;=TotalStations,"Terminé",INDEX($A$10:$A$25,MATCH(SUMPRODUCT(($A$10:$A$25&lt;&gt;"")*($D$10:$D$25&lt;=C208))+1,$E$10:$E$25,0)))</f>
        <v>Problem Solve</v>
      </c>
      <c r="E208" s="24" t="n">
        <f aca="false">IF(C208&gt;=TotalStations,"",INDEX($C$10:$C$25,MATCH(SUMPRODUCT(($A$10:$A$25&lt;&gt;"")*($D$10:$D$25&lt;=C208))+1,$E$10:$E$25,0)))</f>
        <v>150</v>
      </c>
      <c r="F208" s="24" t="n">
        <f aca="false">IF(C208&gt;=TotalStations,0,IF(B208="Dédié",MIN(FLOOR(420/E208,1),(TotalStations-C208)),MIN(1,(TotalStations-C208))))</f>
        <v>1</v>
      </c>
      <c r="G208" s="24" t="n">
        <f aca="false">C208+F208</f>
        <v>145</v>
      </c>
      <c r="H208" s="24" t="n">
        <f aca="false">L207</f>
        <v>199</v>
      </c>
      <c r="I208" s="24" t="str">
        <f aca="false">IF(H208&gt;=TotalStations,"Terminé",INDEX($A$10:$A$25,MATCH(SUMPRODUCT(($A$10:$A$25&lt;&gt;"")*($D$10:$D$25&lt;=H208))+1,$E$10:$E$25,0)))</f>
        <v>Terminé</v>
      </c>
      <c r="J208" s="24" t="str">
        <f aca="false">IF(H208&gt;=TotalStations,"",INDEX($C$10:$C$25,MATCH(SUMPRODUCT(($A$10:$A$25&lt;&gt;"")*($D$10:$D$25&lt;=H208))+1,$E$10:$E$25,0)))</f>
        <v/>
      </c>
      <c r="K208" s="24" t="n">
        <f aca="false">IF(H208&gt;=TotalStations,0,IF(B208="Dédié",MIN(FLOOR(420/J208,1),(TotalStations-H208)),MIN(2,(TotalStations-H208))))</f>
        <v>0</v>
      </c>
      <c r="L208" s="24" t="n">
        <f aca="false">H208+K208</f>
        <v>199</v>
      </c>
      <c r="M208" s="24" t="n">
        <f aca="false">Q207</f>
        <v>199</v>
      </c>
      <c r="N208" s="24" t="str">
        <f aca="false">IF(M208&gt;=TotalStations,"Terminé",INDEX($A$10:$A$25,MATCH(SUMPRODUCT(($A$10:$A$25&lt;&gt;"")*($D$10:$D$25&lt;=M208))+1,$E$10:$E$25,0)))</f>
        <v>Terminé</v>
      </c>
      <c r="O208" s="24" t="str">
        <f aca="false">IF(M208&gt;=TotalStations,"",INDEX($C$10:$C$25,MATCH(SUMPRODUCT(($A$10:$A$25&lt;&gt;"")*($D$10:$D$25&lt;=M208))+1,$E$10:$E$25,0)))</f>
        <v/>
      </c>
      <c r="P208" s="24" t="n">
        <f aca="false">IF(M208&gt;=TotalStations,0,MIN(FLOOR(420/O208,1),(TotalStations-M208)))</f>
        <v>0</v>
      </c>
      <c r="Q208" s="24" t="n">
        <f aca="false">M208+P208</f>
        <v>199</v>
      </c>
    </row>
    <row r="209" customFormat="false" ht="15" hidden="false" customHeight="true" outlineLevel="0" collapsed="false">
      <c r="A209" s="37" t="n">
        <f aca="false">WORKDAY(A208,1)</f>
        <v>46464</v>
      </c>
      <c r="B209" s="24" t="str">
        <f aca="false">IF(COUNTIF($B$5:$F$5,A209)&gt;0,"Dédié","Normal")</f>
        <v>Normal</v>
      </c>
      <c r="C209" s="24" t="n">
        <f aca="false">G208</f>
        <v>145</v>
      </c>
      <c r="D209" s="24" t="str">
        <f aca="false">IF(C209&gt;=TotalStations,"Terminé",INDEX($A$10:$A$25,MATCH(SUMPRODUCT(($A$10:$A$25&lt;&gt;"")*($D$10:$D$25&lt;=C209))+1,$E$10:$E$25,0)))</f>
        <v>Problem Solve</v>
      </c>
      <c r="E209" s="24" t="n">
        <f aca="false">IF(C209&gt;=TotalStations,"",INDEX($C$10:$C$25,MATCH(SUMPRODUCT(($A$10:$A$25&lt;&gt;"")*($D$10:$D$25&lt;=C209))+1,$E$10:$E$25,0)))</f>
        <v>150</v>
      </c>
      <c r="F209" s="24" t="n">
        <f aca="false">IF(C209&gt;=TotalStations,0,IF(B209="Dédié",MIN(FLOOR(420/E209,1),(TotalStations-C209)),MIN(1,(TotalStations-C209))))</f>
        <v>1</v>
      </c>
      <c r="G209" s="24" t="n">
        <f aca="false">C209+F209</f>
        <v>146</v>
      </c>
      <c r="H209" s="24" t="n">
        <f aca="false">L208</f>
        <v>199</v>
      </c>
      <c r="I209" s="24" t="str">
        <f aca="false">IF(H209&gt;=TotalStations,"Terminé",INDEX($A$10:$A$25,MATCH(SUMPRODUCT(($A$10:$A$25&lt;&gt;"")*($D$10:$D$25&lt;=H209))+1,$E$10:$E$25,0)))</f>
        <v>Terminé</v>
      </c>
      <c r="J209" s="24" t="str">
        <f aca="false">IF(H209&gt;=TotalStations,"",INDEX($C$10:$C$25,MATCH(SUMPRODUCT(($A$10:$A$25&lt;&gt;"")*($D$10:$D$25&lt;=H209))+1,$E$10:$E$25,0)))</f>
        <v/>
      </c>
      <c r="K209" s="24" t="n">
        <f aca="false">IF(H209&gt;=TotalStations,0,IF(B209="Dédié",MIN(FLOOR(420/J209,1),(TotalStations-H209)),MIN(2,(TotalStations-H209))))</f>
        <v>0</v>
      </c>
      <c r="L209" s="24" t="n">
        <f aca="false">H209+K209</f>
        <v>199</v>
      </c>
      <c r="M209" s="24" t="n">
        <f aca="false">Q208</f>
        <v>199</v>
      </c>
      <c r="N209" s="24" t="str">
        <f aca="false">IF(M209&gt;=TotalStations,"Terminé",INDEX($A$10:$A$25,MATCH(SUMPRODUCT(($A$10:$A$25&lt;&gt;"")*($D$10:$D$25&lt;=M209))+1,$E$10:$E$25,0)))</f>
        <v>Terminé</v>
      </c>
      <c r="O209" s="24" t="str">
        <f aca="false">IF(M209&gt;=TotalStations,"",INDEX($C$10:$C$25,MATCH(SUMPRODUCT(($A$10:$A$25&lt;&gt;"")*($D$10:$D$25&lt;=M209))+1,$E$10:$E$25,0)))</f>
        <v/>
      </c>
      <c r="P209" s="24" t="n">
        <f aca="false">IF(M209&gt;=TotalStations,0,MIN(FLOOR(420/O209,1),(TotalStations-M209)))</f>
        <v>0</v>
      </c>
      <c r="Q209" s="24" t="n">
        <f aca="false">M209+P209</f>
        <v>199</v>
      </c>
    </row>
    <row r="210" customFormat="false" ht="15" hidden="false" customHeight="true" outlineLevel="0" collapsed="false">
      <c r="A210" s="37" t="n">
        <f aca="false">WORKDAY(A209,1)</f>
        <v>46465</v>
      </c>
      <c r="B210" s="24" t="str">
        <f aca="false">IF(COUNTIF($B$5:$F$5,A210)&gt;0,"Dédié","Normal")</f>
        <v>Normal</v>
      </c>
      <c r="C210" s="24" t="n">
        <f aca="false">G209</f>
        <v>146</v>
      </c>
      <c r="D210" s="24" t="str">
        <f aca="false">IF(C210&gt;=TotalStations,"Terminé",INDEX($A$10:$A$25,MATCH(SUMPRODUCT(($A$10:$A$25&lt;&gt;"")*($D$10:$D$25&lt;=C210))+1,$E$10:$E$25,0)))</f>
        <v>Problem Solve</v>
      </c>
      <c r="E210" s="24" t="n">
        <f aca="false">IF(C210&gt;=TotalStations,"",INDEX($C$10:$C$25,MATCH(SUMPRODUCT(($A$10:$A$25&lt;&gt;"")*($D$10:$D$25&lt;=C210))+1,$E$10:$E$25,0)))</f>
        <v>150</v>
      </c>
      <c r="F210" s="24" t="n">
        <f aca="false">IF(C210&gt;=TotalStations,0,IF(B210="Dédié",MIN(FLOOR(420/E210,1),(TotalStations-C210)),MIN(1,(TotalStations-C210))))</f>
        <v>1</v>
      </c>
      <c r="G210" s="24" t="n">
        <f aca="false">C210+F210</f>
        <v>147</v>
      </c>
      <c r="H210" s="24" t="n">
        <f aca="false">L209</f>
        <v>199</v>
      </c>
      <c r="I210" s="24" t="str">
        <f aca="false">IF(H210&gt;=TotalStations,"Terminé",INDEX($A$10:$A$25,MATCH(SUMPRODUCT(($A$10:$A$25&lt;&gt;"")*($D$10:$D$25&lt;=H210))+1,$E$10:$E$25,0)))</f>
        <v>Terminé</v>
      </c>
      <c r="J210" s="24" t="str">
        <f aca="false">IF(H210&gt;=TotalStations,"",INDEX($C$10:$C$25,MATCH(SUMPRODUCT(($A$10:$A$25&lt;&gt;"")*($D$10:$D$25&lt;=H210))+1,$E$10:$E$25,0)))</f>
        <v/>
      </c>
      <c r="K210" s="24" t="n">
        <f aca="false">IF(H210&gt;=TotalStations,0,IF(B210="Dédié",MIN(FLOOR(420/J210,1),(TotalStations-H210)),MIN(2,(TotalStations-H210))))</f>
        <v>0</v>
      </c>
      <c r="L210" s="24" t="n">
        <f aca="false">H210+K210</f>
        <v>199</v>
      </c>
      <c r="M210" s="24" t="n">
        <f aca="false">Q209</f>
        <v>199</v>
      </c>
      <c r="N210" s="24" t="str">
        <f aca="false">IF(M210&gt;=TotalStations,"Terminé",INDEX($A$10:$A$25,MATCH(SUMPRODUCT(($A$10:$A$25&lt;&gt;"")*($D$10:$D$25&lt;=M210))+1,$E$10:$E$25,0)))</f>
        <v>Terminé</v>
      </c>
      <c r="O210" s="24" t="str">
        <f aca="false">IF(M210&gt;=TotalStations,"",INDEX($C$10:$C$25,MATCH(SUMPRODUCT(($A$10:$A$25&lt;&gt;"")*($D$10:$D$25&lt;=M210))+1,$E$10:$E$25,0)))</f>
        <v/>
      </c>
      <c r="P210" s="24" t="n">
        <f aca="false">IF(M210&gt;=TotalStations,0,MIN(FLOOR(420/O210,1),(TotalStations-M210)))</f>
        <v>0</v>
      </c>
      <c r="Q210" s="24" t="n">
        <f aca="false">M210+P210</f>
        <v>199</v>
      </c>
    </row>
    <row r="211" customFormat="false" ht="15" hidden="false" customHeight="true" outlineLevel="0" collapsed="false">
      <c r="A211" s="37" t="n">
        <f aca="false">WORKDAY(A210,1)</f>
        <v>46468</v>
      </c>
      <c r="B211" s="24" t="str">
        <f aca="false">IF(COUNTIF($B$5:$F$5,A211)&gt;0,"Dédié","Normal")</f>
        <v>Normal</v>
      </c>
      <c r="C211" s="24" t="n">
        <f aca="false">G210</f>
        <v>147</v>
      </c>
      <c r="D211" s="24" t="str">
        <f aca="false">IF(C211&gt;=TotalStations,"Terminé",INDEX($A$10:$A$25,MATCH(SUMPRODUCT(($A$10:$A$25&lt;&gt;"")*($D$10:$D$25&lt;=C211))+1,$E$10:$E$25,0)))</f>
        <v>Problem Solve</v>
      </c>
      <c r="E211" s="24" t="n">
        <f aca="false">IF(C211&gt;=TotalStations,"",INDEX($C$10:$C$25,MATCH(SUMPRODUCT(($A$10:$A$25&lt;&gt;"")*($D$10:$D$25&lt;=C211))+1,$E$10:$E$25,0)))</f>
        <v>150</v>
      </c>
      <c r="F211" s="24" t="n">
        <f aca="false">IF(C211&gt;=TotalStations,0,IF(B211="Dédié",MIN(FLOOR(420/E211,1),(TotalStations-C211)),MIN(1,(TotalStations-C211))))</f>
        <v>1</v>
      </c>
      <c r="G211" s="24" t="n">
        <f aca="false">C211+F211</f>
        <v>148</v>
      </c>
      <c r="H211" s="24" t="n">
        <f aca="false">L210</f>
        <v>199</v>
      </c>
      <c r="I211" s="24" t="str">
        <f aca="false">IF(H211&gt;=TotalStations,"Terminé",INDEX($A$10:$A$25,MATCH(SUMPRODUCT(($A$10:$A$25&lt;&gt;"")*($D$10:$D$25&lt;=H211))+1,$E$10:$E$25,0)))</f>
        <v>Terminé</v>
      </c>
      <c r="J211" s="24" t="str">
        <f aca="false">IF(H211&gt;=TotalStations,"",INDEX($C$10:$C$25,MATCH(SUMPRODUCT(($A$10:$A$25&lt;&gt;"")*($D$10:$D$25&lt;=H211))+1,$E$10:$E$25,0)))</f>
        <v/>
      </c>
      <c r="K211" s="24" t="n">
        <f aca="false">IF(H211&gt;=TotalStations,0,IF(B211="Dédié",MIN(FLOOR(420/J211,1),(TotalStations-H211)),MIN(2,(TotalStations-H211))))</f>
        <v>0</v>
      </c>
      <c r="L211" s="24" t="n">
        <f aca="false">H211+K211</f>
        <v>199</v>
      </c>
      <c r="M211" s="24" t="n">
        <f aca="false">Q210</f>
        <v>199</v>
      </c>
      <c r="N211" s="24" t="str">
        <f aca="false">IF(M211&gt;=TotalStations,"Terminé",INDEX($A$10:$A$25,MATCH(SUMPRODUCT(($A$10:$A$25&lt;&gt;"")*($D$10:$D$25&lt;=M211))+1,$E$10:$E$25,0)))</f>
        <v>Terminé</v>
      </c>
      <c r="O211" s="24" t="str">
        <f aca="false">IF(M211&gt;=TotalStations,"",INDEX($C$10:$C$25,MATCH(SUMPRODUCT(($A$10:$A$25&lt;&gt;"")*($D$10:$D$25&lt;=M211))+1,$E$10:$E$25,0)))</f>
        <v/>
      </c>
      <c r="P211" s="24" t="n">
        <f aca="false">IF(M211&gt;=TotalStations,0,MIN(FLOOR(420/O211,1),(TotalStations-M211)))</f>
        <v>0</v>
      </c>
      <c r="Q211" s="24" t="n">
        <f aca="false">M211+P211</f>
        <v>199</v>
      </c>
    </row>
    <row r="212" customFormat="false" ht="15" hidden="false" customHeight="true" outlineLevel="0" collapsed="false">
      <c r="A212" s="37" t="n">
        <f aca="false">WORKDAY(A211,1)</f>
        <v>46469</v>
      </c>
      <c r="B212" s="24" t="str">
        <f aca="false">IF(COUNTIF($B$5:$F$5,A212)&gt;0,"Dédié","Normal")</f>
        <v>Normal</v>
      </c>
      <c r="C212" s="24" t="n">
        <f aca="false">G211</f>
        <v>148</v>
      </c>
      <c r="D212" s="24" t="str">
        <f aca="false">IF(C212&gt;=TotalStations,"Terminé",INDEX($A$10:$A$25,MATCH(SUMPRODUCT(($A$10:$A$25&lt;&gt;"")*($D$10:$D$25&lt;=C212))+1,$E$10:$E$25,0)))</f>
        <v>Shipping</v>
      </c>
      <c r="E212" s="24" t="n">
        <f aca="false">IF(C212&gt;=TotalStations,"",INDEX($C$10:$C$25,MATCH(SUMPRODUCT(($A$10:$A$25&lt;&gt;"")*($D$10:$D$25&lt;=C212))+1,$E$10:$E$25,0)))</f>
        <v>30</v>
      </c>
      <c r="F212" s="24" t="n">
        <f aca="false">IF(C212&gt;=TotalStations,0,IF(B212="Dédié",MIN(FLOOR(420/E212,1),(TotalStations-C212)),MIN(1,(TotalStations-C212))))</f>
        <v>1</v>
      </c>
      <c r="G212" s="24" t="n">
        <f aca="false">C212+F212</f>
        <v>149</v>
      </c>
      <c r="H212" s="24" t="n">
        <f aca="false">L211</f>
        <v>199</v>
      </c>
      <c r="I212" s="24" t="str">
        <f aca="false">IF(H212&gt;=TotalStations,"Terminé",INDEX($A$10:$A$25,MATCH(SUMPRODUCT(($A$10:$A$25&lt;&gt;"")*($D$10:$D$25&lt;=H212))+1,$E$10:$E$25,0)))</f>
        <v>Terminé</v>
      </c>
      <c r="J212" s="24" t="str">
        <f aca="false">IF(H212&gt;=TotalStations,"",INDEX($C$10:$C$25,MATCH(SUMPRODUCT(($A$10:$A$25&lt;&gt;"")*($D$10:$D$25&lt;=H212))+1,$E$10:$E$25,0)))</f>
        <v/>
      </c>
      <c r="K212" s="24" t="n">
        <f aca="false">IF(H212&gt;=TotalStations,0,IF(B212="Dédié",MIN(FLOOR(420/J212,1),(TotalStations-H212)),MIN(2,(TotalStations-H212))))</f>
        <v>0</v>
      </c>
      <c r="L212" s="24" t="n">
        <f aca="false">H212+K212</f>
        <v>199</v>
      </c>
      <c r="M212" s="24" t="n">
        <f aca="false">Q211</f>
        <v>199</v>
      </c>
      <c r="N212" s="24" t="str">
        <f aca="false">IF(M212&gt;=TotalStations,"Terminé",INDEX($A$10:$A$25,MATCH(SUMPRODUCT(($A$10:$A$25&lt;&gt;"")*($D$10:$D$25&lt;=M212))+1,$E$10:$E$25,0)))</f>
        <v>Terminé</v>
      </c>
      <c r="O212" s="24" t="str">
        <f aca="false">IF(M212&gt;=TotalStations,"",INDEX($C$10:$C$25,MATCH(SUMPRODUCT(($A$10:$A$25&lt;&gt;"")*($D$10:$D$25&lt;=M212))+1,$E$10:$E$25,0)))</f>
        <v/>
      </c>
      <c r="P212" s="24" t="n">
        <f aca="false">IF(M212&gt;=TotalStations,0,MIN(FLOOR(420/O212,1),(TotalStations-M212)))</f>
        <v>0</v>
      </c>
      <c r="Q212" s="24" t="n">
        <f aca="false">M212+P212</f>
        <v>199</v>
      </c>
    </row>
    <row r="213" customFormat="false" ht="15" hidden="false" customHeight="true" outlineLevel="0" collapsed="false">
      <c r="A213" s="37" t="n">
        <f aca="false">WORKDAY(A212,1)</f>
        <v>46470</v>
      </c>
      <c r="B213" s="24" t="str">
        <f aca="false">IF(COUNTIF($B$5:$F$5,A213)&gt;0,"Dédié","Normal")</f>
        <v>Normal</v>
      </c>
      <c r="C213" s="24" t="n">
        <f aca="false">G212</f>
        <v>149</v>
      </c>
      <c r="D213" s="24" t="str">
        <f aca="false">IF(C213&gt;=TotalStations,"Terminé",INDEX($A$10:$A$25,MATCH(SUMPRODUCT(($A$10:$A$25&lt;&gt;"")*($D$10:$D$25&lt;=C213))+1,$E$10:$E$25,0)))</f>
        <v>Shipping</v>
      </c>
      <c r="E213" s="24" t="n">
        <f aca="false">IF(C213&gt;=TotalStations,"",INDEX($C$10:$C$25,MATCH(SUMPRODUCT(($A$10:$A$25&lt;&gt;"")*($D$10:$D$25&lt;=C213))+1,$E$10:$E$25,0)))</f>
        <v>30</v>
      </c>
      <c r="F213" s="24" t="n">
        <f aca="false">IF(C213&gt;=TotalStations,0,IF(B213="Dédié",MIN(FLOOR(420/E213,1),(TotalStations-C213)),MIN(1,(TotalStations-C213))))</f>
        <v>1</v>
      </c>
      <c r="G213" s="24" t="n">
        <f aca="false">C213+F213</f>
        <v>150</v>
      </c>
      <c r="H213" s="24" t="n">
        <f aca="false">L212</f>
        <v>199</v>
      </c>
      <c r="I213" s="24" t="str">
        <f aca="false">IF(H213&gt;=TotalStations,"Terminé",INDEX($A$10:$A$25,MATCH(SUMPRODUCT(($A$10:$A$25&lt;&gt;"")*($D$10:$D$25&lt;=H213))+1,$E$10:$E$25,0)))</f>
        <v>Terminé</v>
      </c>
      <c r="J213" s="24" t="str">
        <f aca="false">IF(H213&gt;=TotalStations,"",INDEX($C$10:$C$25,MATCH(SUMPRODUCT(($A$10:$A$25&lt;&gt;"")*($D$10:$D$25&lt;=H213))+1,$E$10:$E$25,0)))</f>
        <v/>
      </c>
      <c r="K213" s="24" t="n">
        <f aca="false">IF(H213&gt;=TotalStations,0,IF(B213="Dédié",MIN(FLOOR(420/J213,1),(TotalStations-H213)),MIN(2,(TotalStations-H213))))</f>
        <v>0</v>
      </c>
      <c r="L213" s="24" t="n">
        <f aca="false">H213+K213</f>
        <v>199</v>
      </c>
      <c r="M213" s="24" t="n">
        <f aca="false">Q212</f>
        <v>199</v>
      </c>
      <c r="N213" s="24" t="str">
        <f aca="false">IF(M213&gt;=TotalStations,"Terminé",INDEX($A$10:$A$25,MATCH(SUMPRODUCT(($A$10:$A$25&lt;&gt;"")*($D$10:$D$25&lt;=M213))+1,$E$10:$E$25,0)))</f>
        <v>Terminé</v>
      </c>
      <c r="O213" s="24" t="str">
        <f aca="false">IF(M213&gt;=TotalStations,"",INDEX($C$10:$C$25,MATCH(SUMPRODUCT(($A$10:$A$25&lt;&gt;"")*($D$10:$D$25&lt;=M213))+1,$E$10:$E$25,0)))</f>
        <v/>
      </c>
      <c r="P213" s="24" t="n">
        <f aca="false">IF(M213&gt;=TotalStations,0,MIN(FLOOR(420/O213,1),(TotalStations-M213)))</f>
        <v>0</v>
      </c>
      <c r="Q213" s="24" t="n">
        <f aca="false">M213+P213</f>
        <v>199</v>
      </c>
    </row>
    <row r="214" customFormat="false" ht="15" hidden="false" customHeight="true" outlineLevel="0" collapsed="false">
      <c r="A214" s="37" t="n">
        <f aca="false">WORKDAY(A213,1)</f>
        <v>46471</v>
      </c>
      <c r="B214" s="24" t="str">
        <f aca="false">IF(COUNTIF($B$5:$F$5,A214)&gt;0,"Dédié","Normal")</f>
        <v>Normal</v>
      </c>
      <c r="C214" s="24" t="n">
        <f aca="false">G213</f>
        <v>150</v>
      </c>
      <c r="D214" s="24" t="str">
        <f aca="false">IF(C214&gt;=TotalStations,"Terminé",INDEX($A$10:$A$25,MATCH(SUMPRODUCT(($A$10:$A$25&lt;&gt;"")*($D$10:$D$25&lt;=C214))+1,$E$10:$E$25,0)))</f>
        <v>Shipping</v>
      </c>
      <c r="E214" s="24" t="n">
        <f aca="false">IF(C214&gt;=TotalStations,"",INDEX($C$10:$C$25,MATCH(SUMPRODUCT(($A$10:$A$25&lt;&gt;"")*($D$10:$D$25&lt;=C214))+1,$E$10:$E$25,0)))</f>
        <v>30</v>
      </c>
      <c r="F214" s="24" t="n">
        <f aca="false">IF(C214&gt;=TotalStations,0,IF(B214="Dédié",MIN(FLOOR(420/E214,1),(TotalStations-C214)),MIN(1,(TotalStations-C214))))</f>
        <v>1</v>
      </c>
      <c r="G214" s="24" t="n">
        <f aca="false">C214+F214</f>
        <v>151</v>
      </c>
      <c r="H214" s="24" t="n">
        <f aca="false">L213</f>
        <v>199</v>
      </c>
      <c r="I214" s="24" t="str">
        <f aca="false">IF(H214&gt;=TotalStations,"Terminé",INDEX($A$10:$A$25,MATCH(SUMPRODUCT(($A$10:$A$25&lt;&gt;"")*($D$10:$D$25&lt;=H214))+1,$E$10:$E$25,0)))</f>
        <v>Terminé</v>
      </c>
      <c r="J214" s="24" t="str">
        <f aca="false">IF(H214&gt;=TotalStations,"",INDEX($C$10:$C$25,MATCH(SUMPRODUCT(($A$10:$A$25&lt;&gt;"")*($D$10:$D$25&lt;=H214))+1,$E$10:$E$25,0)))</f>
        <v/>
      </c>
      <c r="K214" s="24" t="n">
        <f aca="false">IF(H214&gt;=TotalStations,0,IF(B214="Dédié",MIN(FLOOR(420/J214,1),(TotalStations-H214)),MIN(2,(TotalStations-H214))))</f>
        <v>0</v>
      </c>
      <c r="L214" s="24" t="n">
        <f aca="false">H214+K214</f>
        <v>199</v>
      </c>
      <c r="M214" s="24" t="n">
        <f aca="false">Q213</f>
        <v>199</v>
      </c>
      <c r="N214" s="24" t="str">
        <f aca="false">IF(M214&gt;=TotalStations,"Terminé",INDEX($A$10:$A$25,MATCH(SUMPRODUCT(($A$10:$A$25&lt;&gt;"")*($D$10:$D$25&lt;=M214))+1,$E$10:$E$25,0)))</f>
        <v>Terminé</v>
      </c>
      <c r="O214" s="24" t="str">
        <f aca="false">IF(M214&gt;=TotalStations,"",INDEX($C$10:$C$25,MATCH(SUMPRODUCT(($A$10:$A$25&lt;&gt;"")*($D$10:$D$25&lt;=M214))+1,$E$10:$E$25,0)))</f>
        <v/>
      </c>
      <c r="P214" s="24" t="n">
        <f aca="false">IF(M214&gt;=TotalStations,0,MIN(FLOOR(420/O214,1),(TotalStations-M214)))</f>
        <v>0</v>
      </c>
      <c r="Q214" s="24" t="n">
        <f aca="false">M214+P214</f>
        <v>199</v>
      </c>
    </row>
    <row r="215" customFormat="false" ht="15" hidden="false" customHeight="true" outlineLevel="0" collapsed="false">
      <c r="A215" s="37" t="n">
        <f aca="false">WORKDAY(A214,1)</f>
        <v>46472</v>
      </c>
      <c r="B215" s="24" t="str">
        <f aca="false">IF(COUNTIF($B$5:$F$5,A215)&gt;0,"Dédié","Normal")</f>
        <v>Normal</v>
      </c>
      <c r="C215" s="24" t="n">
        <f aca="false">G214</f>
        <v>151</v>
      </c>
      <c r="D215" s="24" t="str">
        <f aca="false">IF(C215&gt;=TotalStations,"Terminé",INDEX($A$10:$A$25,MATCH(SUMPRODUCT(($A$10:$A$25&lt;&gt;"")*($D$10:$D$25&lt;=C215))+1,$E$10:$E$25,0)))</f>
        <v>Shipping</v>
      </c>
      <c r="E215" s="24" t="n">
        <f aca="false">IF(C215&gt;=TotalStations,"",INDEX($C$10:$C$25,MATCH(SUMPRODUCT(($A$10:$A$25&lt;&gt;"")*($D$10:$D$25&lt;=C215))+1,$E$10:$E$25,0)))</f>
        <v>30</v>
      </c>
      <c r="F215" s="24" t="n">
        <f aca="false">IF(C215&gt;=TotalStations,0,IF(B215="Dédié",MIN(FLOOR(420/E215,1),(TotalStations-C215)),MIN(1,(TotalStations-C215))))</f>
        <v>1</v>
      </c>
      <c r="G215" s="24" t="n">
        <f aca="false">C215+F215</f>
        <v>152</v>
      </c>
      <c r="H215" s="24" t="n">
        <f aca="false">L214</f>
        <v>199</v>
      </c>
      <c r="I215" s="24" t="str">
        <f aca="false">IF(H215&gt;=TotalStations,"Terminé",INDEX($A$10:$A$25,MATCH(SUMPRODUCT(($A$10:$A$25&lt;&gt;"")*($D$10:$D$25&lt;=H215))+1,$E$10:$E$25,0)))</f>
        <v>Terminé</v>
      </c>
      <c r="J215" s="24" t="str">
        <f aca="false">IF(H215&gt;=TotalStations,"",INDEX($C$10:$C$25,MATCH(SUMPRODUCT(($A$10:$A$25&lt;&gt;"")*($D$10:$D$25&lt;=H215))+1,$E$10:$E$25,0)))</f>
        <v/>
      </c>
      <c r="K215" s="24" t="n">
        <f aca="false">IF(H215&gt;=TotalStations,0,IF(B215="Dédié",MIN(FLOOR(420/J215,1),(TotalStations-H215)),MIN(2,(TotalStations-H215))))</f>
        <v>0</v>
      </c>
      <c r="L215" s="24" t="n">
        <f aca="false">H215+K215</f>
        <v>199</v>
      </c>
      <c r="M215" s="24" t="n">
        <f aca="false">Q214</f>
        <v>199</v>
      </c>
      <c r="N215" s="24" t="str">
        <f aca="false">IF(M215&gt;=TotalStations,"Terminé",INDEX($A$10:$A$25,MATCH(SUMPRODUCT(($A$10:$A$25&lt;&gt;"")*($D$10:$D$25&lt;=M215))+1,$E$10:$E$25,0)))</f>
        <v>Terminé</v>
      </c>
      <c r="O215" s="24" t="str">
        <f aca="false">IF(M215&gt;=TotalStations,"",INDEX($C$10:$C$25,MATCH(SUMPRODUCT(($A$10:$A$25&lt;&gt;"")*($D$10:$D$25&lt;=M215))+1,$E$10:$E$25,0)))</f>
        <v/>
      </c>
      <c r="P215" s="24" t="n">
        <f aca="false">IF(M215&gt;=TotalStations,0,MIN(FLOOR(420/O215,1),(TotalStations-M215)))</f>
        <v>0</v>
      </c>
      <c r="Q215" s="24" t="n">
        <f aca="false">M215+P215</f>
        <v>199</v>
      </c>
    </row>
    <row r="216" customFormat="false" ht="15" hidden="false" customHeight="true" outlineLevel="0" collapsed="false">
      <c r="A216" s="37" t="n">
        <f aca="false">WORKDAY(A215,1)</f>
        <v>46475</v>
      </c>
      <c r="B216" s="24" t="str">
        <f aca="false">IF(COUNTIF($B$5:$F$5,A216)&gt;0,"Dédié","Normal")</f>
        <v>Normal</v>
      </c>
      <c r="C216" s="24" t="n">
        <f aca="false">G215</f>
        <v>152</v>
      </c>
      <c r="D216" s="24" t="str">
        <f aca="false">IF(C216&gt;=TotalStations,"Terminé",INDEX($A$10:$A$25,MATCH(SUMPRODUCT(($A$10:$A$25&lt;&gt;"")*($D$10:$D$25&lt;=C216))+1,$E$10:$E$25,0)))</f>
        <v>Shipping</v>
      </c>
      <c r="E216" s="24" t="n">
        <f aca="false">IF(C216&gt;=TotalStations,"",INDEX($C$10:$C$25,MATCH(SUMPRODUCT(($A$10:$A$25&lt;&gt;"")*($D$10:$D$25&lt;=C216))+1,$E$10:$E$25,0)))</f>
        <v>30</v>
      </c>
      <c r="F216" s="24" t="n">
        <f aca="false">IF(C216&gt;=TotalStations,0,IF(B216="Dédié",MIN(FLOOR(420/E216,1),(TotalStations-C216)),MIN(1,(TotalStations-C216))))</f>
        <v>1</v>
      </c>
      <c r="G216" s="24" t="n">
        <f aca="false">C216+F216</f>
        <v>153</v>
      </c>
      <c r="H216" s="24" t="n">
        <f aca="false">L215</f>
        <v>199</v>
      </c>
      <c r="I216" s="24" t="str">
        <f aca="false">IF(H216&gt;=TotalStations,"Terminé",INDEX($A$10:$A$25,MATCH(SUMPRODUCT(($A$10:$A$25&lt;&gt;"")*($D$10:$D$25&lt;=H216))+1,$E$10:$E$25,0)))</f>
        <v>Terminé</v>
      </c>
      <c r="J216" s="24" t="str">
        <f aca="false">IF(H216&gt;=TotalStations,"",INDEX($C$10:$C$25,MATCH(SUMPRODUCT(($A$10:$A$25&lt;&gt;"")*($D$10:$D$25&lt;=H216))+1,$E$10:$E$25,0)))</f>
        <v/>
      </c>
      <c r="K216" s="24" t="n">
        <f aca="false">IF(H216&gt;=TotalStations,0,IF(B216="Dédié",MIN(FLOOR(420/J216,1),(TotalStations-H216)),MIN(2,(TotalStations-H216))))</f>
        <v>0</v>
      </c>
      <c r="L216" s="24" t="n">
        <f aca="false">H216+K216</f>
        <v>199</v>
      </c>
      <c r="M216" s="24" t="n">
        <f aca="false">Q215</f>
        <v>199</v>
      </c>
      <c r="N216" s="24" t="str">
        <f aca="false">IF(M216&gt;=TotalStations,"Terminé",INDEX($A$10:$A$25,MATCH(SUMPRODUCT(($A$10:$A$25&lt;&gt;"")*($D$10:$D$25&lt;=M216))+1,$E$10:$E$25,0)))</f>
        <v>Terminé</v>
      </c>
      <c r="O216" s="24" t="str">
        <f aca="false">IF(M216&gt;=TotalStations,"",INDEX($C$10:$C$25,MATCH(SUMPRODUCT(($A$10:$A$25&lt;&gt;"")*($D$10:$D$25&lt;=M216))+1,$E$10:$E$25,0)))</f>
        <v/>
      </c>
      <c r="P216" s="24" t="n">
        <f aca="false">IF(M216&gt;=TotalStations,0,MIN(FLOOR(420/O216,1),(TotalStations-M216)))</f>
        <v>0</v>
      </c>
      <c r="Q216" s="24" t="n">
        <f aca="false">M216+P216</f>
        <v>199</v>
      </c>
    </row>
    <row r="217" customFormat="false" ht="15" hidden="false" customHeight="true" outlineLevel="0" collapsed="false">
      <c r="A217" s="37" t="n">
        <f aca="false">WORKDAY(A216,1)</f>
        <v>46476</v>
      </c>
      <c r="B217" s="24" t="str">
        <f aca="false">IF(COUNTIF($B$5:$F$5,A217)&gt;0,"Dédié","Normal")</f>
        <v>Normal</v>
      </c>
      <c r="C217" s="24" t="n">
        <f aca="false">G216</f>
        <v>153</v>
      </c>
      <c r="D217" s="24" t="str">
        <f aca="false">IF(C217&gt;=TotalStations,"Terminé",INDEX($A$10:$A$25,MATCH(SUMPRODUCT(($A$10:$A$25&lt;&gt;"")*($D$10:$D$25&lt;=C217))+1,$E$10:$E$25,0)))</f>
        <v>Shipping</v>
      </c>
      <c r="E217" s="24" t="n">
        <f aca="false">IF(C217&gt;=TotalStations,"",INDEX($C$10:$C$25,MATCH(SUMPRODUCT(($A$10:$A$25&lt;&gt;"")*($D$10:$D$25&lt;=C217))+1,$E$10:$E$25,0)))</f>
        <v>30</v>
      </c>
      <c r="F217" s="24" t="n">
        <f aca="false">IF(C217&gt;=TotalStations,0,IF(B217="Dédié",MIN(FLOOR(420/E217,1),(TotalStations-C217)),MIN(1,(TotalStations-C217))))</f>
        <v>1</v>
      </c>
      <c r="G217" s="24" t="n">
        <f aca="false">C217+F217</f>
        <v>154</v>
      </c>
      <c r="H217" s="24" t="n">
        <f aca="false">L216</f>
        <v>199</v>
      </c>
      <c r="I217" s="24" t="str">
        <f aca="false">IF(H217&gt;=TotalStations,"Terminé",INDEX($A$10:$A$25,MATCH(SUMPRODUCT(($A$10:$A$25&lt;&gt;"")*($D$10:$D$25&lt;=H217))+1,$E$10:$E$25,0)))</f>
        <v>Terminé</v>
      </c>
      <c r="J217" s="24" t="str">
        <f aca="false">IF(H217&gt;=TotalStations,"",INDEX($C$10:$C$25,MATCH(SUMPRODUCT(($A$10:$A$25&lt;&gt;"")*($D$10:$D$25&lt;=H217))+1,$E$10:$E$25,0)))</f>
        <v/>
      </c>
      <c r="K217" s="24" t="n">
        <f aca="false">IF(H217&gt;=TotalStations,0,IF(B217="Dédié",MIN(FLOOR(420/J217,1),(TotalStations-H217)),MIN(2,(TotalStations-H217))))</f>
        <v>0</v>
      </c>
      <c r="L217" s="24" t="n">
        <f aca="false">H217+K217</f>
        <v>199</v>
      </c>
      <c r="M217" s="24" t="n">
        <f aca="false">Q216</f>
        <v>199</v>
      </c>
      <c r="N217" s="24" t="str">
        <f aca="false">IF(M217&gt;=TotalStations,"Terminé",INDEX($A$10:$A$25,MATCH(SUMPRODUCT(($A$10:$A$25&lt;&gt;"")*($D$10:$D$25&lt;=M217))+1,$E$10:$E$25,0)))</f>
        <v>Terminé</v>
      </c>
      <c r="O217" s="24" t="str">
        <f aca="false">IF(M217&gt;=TotalStations,"",INDEX($C$10:$C$25,MATCH(SUMPRODUCT(($A$10:$A$25&lt;&gt;"")*($D$10:$D$25&lt;=M217))+1,$E$10:$E$25,0)))</f>
        <v/>
      </c>
      <c r="P217" s="24" t="n">
        <f aca="false">IF(M217&gt;=TotalStations,0,MIN(FLOOR(420/O217,1),(TotalStations-M217)))</f>
        <v>0</v>
      </c>
      <c r="Q217" s="24" t="n">
        <f aca="false">M217+P217</f>
        <v>199</v>
      </c>
    </row>
    <row r="218" customFormat="false" ht="15" hidden="false" customHeight="true" outlineLevel="0" collapsed="false">
      <c r="A218" s="37" t="n">
        <f aca="false">WORKDAY(A217,1)</f>
        <v>46477</v>
      </c>
      <c r="B218" s="24" t="str">
        <f aca="false">IF(COUNTIF($B$5:$F$5,A218)&gt;0,"Dédié","Normal")</f>
        <v>Normal</v>
      </c>
      <c r="C218" s="24" t="n">
        <f aca="false">G217</f>
        <v>154</v>
      </c>
      <c r="D218" s="24" t="str">
        <f aca="false">IF(C218&gt;=TotalStations,"Terminé",INDEX($A$10:$A$25,MATCH(SUMPRODUCT(($A$10:$A$25&lt;&gt;"")*($D$10:$D$25&lt;=C218))+1,$E$10:$E$25,0)))</f>
        <v>Shipping</v>
      </c>
      <c r="E218" s="24" t="n">
        <f aca="false">IF(C218&gt;=TotalStations,"",INDEX($C$10:$C$25,MATCH(SUMPRODUCT(($A$10:$A$25&lt;&gt;"")*($D$10:$D$25&lt;=C218))+1,$E$10:$E$25,0)))</f>
        <v>30</v>
      </c>
      <c r="F218" s="24" t="n">
        <f aca="false">IF(C218&gt;=TotalStations,0,IF(B218="Dédié",MIN(FLOOR(420/E218,1),(TotalStations-C218)),MIN(1,(TotalStations-C218))))</f>
        <v>1</v>
      </c>
      <c r="G218" s="24" t="n">
        <f aca="false">C218+F218</f>
        <v>155</v>
      </c>
      <c r="H218" s="24" t="n">
        <f aca="false">L217</f>
        <v>199</v>
      </c>
      <c r="I218" s="24" t="str">
        <f aca="false">IF(H218&gt;=TotalStations,"Terminé",INDEX($A$10:$A$25,MATCH(SUMPRODUCT(($A$10:$A$25&lt;&gt;"")*($D$10:$D$25&lt;=H218))+1,$E$10:$E$25,0)))</f>
        <v>Terminé</v>
      </c>
      <c r="J218" s="24" t="str">
        <f aca="false">IF(H218&gt;=TotalStations,"",INDEX($C$10:$C$25,MATCH(SUMPRODUCT(($A$10:$A$25&lt;&gt;"")*($D$10:$D$25&lt;=H218))+1,$E$10:$E$25,0)))</f>
        <v/>
      </c>
      <c r="K218" s="24" t="n">
        <f aca="false">IF(H218&gt;=TotalStations,0,IF(B218="Dédié",MIN(FLOOR(420/J218,1),(TotalStations-H218)),MIN(2,(TotalStations-H218))))</f>
        <v>0</v>
      </c>
      <c r="L218" s="24" t="n">
        <f aca="false">H218+K218</f>
        <v>199</v>
      </c>
      <c r="M218" s="24" t="n">
        <f aca="false">Q217</f>
        <v>199</v>
      </c>
      <c r="N218" s="24" t="str">
        <f aca="false">IF(M218&gt;=TotalStations,"Terminé",INDEX($A$10:$A$25,MATCH(SUMPRODUCT(($A$10:$A$25&lt;&gt;"")*($D$10:$D$25&lt;=M218))+1,$E$10:$E$25,0)))</f>
        <v>Terminé</v>
      </c>
      <c r="O218" s="24" t="str">
        <f aca="false">IF(M218&gt;=TotalStations,"",INDEX($C$10:$C$25,MATCH(SUMPRODUCT(($A$10:$A$25&lt;&gt;"")*($D$10:$D$25&lt;=M218))+1,$E$10:$E$25,0)))</f>
        <v/>
      </c>
      <c r="P218" s="24" t="n">
        <f aca="false">IF(M218&gt;=TotalStations,0,MIN(FLOOR(420/O218,1),(TotalStations-M218)))</f>
        <v>0</v>
      </c>
      <c r="Q218" s="24" t="n">
        <f aca="false">M218+P218</f>
        <v>199</v>
      </c>
    </row>
    <row r="219" customFormat="false" ht="15" hidden="false" customHeight="true" outlineLevel="0" collapsed="false">
      <c r="A219" s="37" t="n">
        <f aca="false">WORKDAY(A218,1)</f>
        <v>46478</v>
      </c>
      <c r="B219" s="24" t="str">
        <f aca="false">IF(COUNTIF($B$5:$F$5,A219)&gt;0,"Dédié","Normal")</f>
        <v>Normal</v>
      </c>
      <c r="C219" s="24" t="n">
        <f aca="false">G218</f>
        <v>155</v>
      </c>
      <c r="D219" s="24" t="str">
        <f aca="false">IF(C219&gt;=TotalStations,"Terminé",INDEX($A$10:$A$25,MATCH(SUMPRODUCT(($A$10:$A$25&lt;&gt;"")*($D$10:$D$25&lt;=C219))+1,$E$10:$E$25,0)))</f>
        <v>Shipping</v>
      </c>
      <c r="E219" s="24" t="n">
        <f aca="false">IF(C219&gt;=TotalStations,"",INDEX($C$10:$C$25,MATCH(SUMPRODUCT(($A$10:$A$25&lt;&gt;"")*($D$10:$D$25&lt;=C219))+1,$E$10:$E$25,0)))</f>
        <v>30</v>
      </c>
      <c r="F219" s="24" t="n">
        <f aca="false">IF(C219&gt;=TotalStations,0,IF(B219="Dédié",MIN(FLOOR(420/E219,1),(TotalStations-C219)),MIN(1,(TotalStations-C219))))</f>
        <v>1</v>
      </c>
      <c r="G219" s="24" t="n">
        <f aca="false">C219+F219</f>
        <v>156</v>
      </c>
      <c r="H219" s="24" t="n">
        <f aca="false">L218</f>
        <v>199</v>
      </c>
      <c r="I219" s="24" t="str">
        <f aca="false">IF(H219&gt;=TotalStations,"Terminé",INDEX($A$10:$A$25,MATCH(SUMPRODUCT(($A$10:$A$25&lt;&gt;"")*($D$10:$D$25&lt;=H219))+1,$E$10:$E$25,0)))</f>
        <v>Terminé</v>
      </c>
      <c r="J219" s="24" t="str">
        <f aca="false">IF(H219&gt;=TotalStations,"",INDEX($C$10:$C$25,MATCH(SUMPRODUCT(($A$10:$A$25&lt;&gt;"")*($D$10:$D$25&lt;=H219))+1,$E$10:$E$25,0)))</f>
        <v/>
      </c>
      <c r="K219" s="24" t="n">
        <f aca="false">IF(H219&gt;=TotalStations,0,IF(B219="Dédié",MIN(FLOOR(420/J219,1),(TotalStations-H219)),MIN(2,(TotalStations-H219))))</f>
        <v>0</v>
      </c>
      <c r="L219" s="24" t="n">
        <f aca="false">H219+K219</f>
        <v>199</v>
      </c>
      <c r="M219" s="24" t="n">
        <f aca="false">Q218</f>
        <v>199</v>
      </c>
      <c r="N219" s="24" t="str">
        <f aca="false">IF(M219&gt;=TotalStations,"Terminé",INDEX($A$10:$A$25,MATCH(SUMPRODUCT(($A$10:$A$25&lt;&gt;"")*($D$10:$D$25&lt;=M219))+1,$E$10:$E$25,0)))</f>
        <v>Terminé</v>
      </c>
      <c r="O219" s="24" t="str">
        <f aca="false">IF(M219&gt;=TotalStations,"",INDEX($C$10:$C$25,MATCH(SUMPRODUCT(($A$10:$A$25&lt;&gt;"")*($D$10:$D$25&lt;=M219))+1,$E$10:$E$25,0)))</f>
        <v/>
      </c>
      <c r="P219" s="24" t="n">
        <f aca="false">IF(M219&gt;=TotalStations,0,MIN(FLOOR(420/O219,1),(TotalStations-M219)))</f>
        <v>0</v>
      </c>
      <c r="Q219" s="24" t="n">
        <f aca="false">M219+P219</f>
        <v>199</v>
      </c>
    </row>
    <row r="220" customFormat="false" ht="15" hidden="false" customHeight="true" outlineLevel="0" collapsed="false">
      <c r="A220" s="37" t="n">
        <f aca="false">WORKDAY(A219,1)</f>
        <v>46479</v>
      </c>
      <c r="B220" s="24" t="str">
        <f aca="false">IF(COUNTIF($B$5:$F$5,A220)&gt;0,"Dédié","Normal")</f>
        <v>Normal</v>
      </c>
      <c r="C220" s="24" t="n">
        <f aca="false">G219</f>
        <v>156</v>
      </c>
      <c r="D220" s="24" t="str">
        <f aca="false">IF(C220&gt;=TotalStations,"Terminé",INDEX($A$10:$A$25,MATCH(SUMPRODUCT(($A$10:$A$25&lt;&gt;"")*($D$10:$D$25&lt;=C220))+1,$E$10:$E$25,0)))</f>
        <v>Shipping</v>
      </c>
      <c r="E220" s="24" t="n">
        <f aca="false">IF(C220&gt;=TotalStations,"",INDEX($C$10:$C$25,MATCH(SUMPRODUCT(($A$10:$A$25&lt;&gt;"")*($D$10:$D$25&lt;=C220))+1,$E$10:$E$25,0)))</f>
        <v>30</v>
      </c>
      <c r="F220" s="24" t="n">
        <f aca="false">IF(C220&gt;=TotalStations,0,IF(B220="Dédié",MIN(FLOOR(420/E220,1),(TotalStations-C220)),MIN(1,(TotalStations-C220))))</f>
        <v>1</v>
      </c>
      <c r="G220" s="24" t="n">
        <f aca="false">C220+F220</f>
        <v>157</v>
      </c>
      <c r="H220" s="24" t="n">
        <f aca="false">L219</f>
        <v>199</v>
      </c>
      <c r="I220" s="24" t="str">
        <f aca="false">IF(H220&gt;=TotalStations,"Terminé",INDEX($A$10:$A$25,MATCH(SUMPRODUCT(($A$10:$A$25&lt;&gt;"")*($D$10:$D$25&lt;=H220))+1,$E$10:$E$25,0)))</f>
        <v>Terminé</v>
      </c>
      <c r="J220" s="24" t="str">
        <f aca="false">IF(H220&gt;=TotalStations,"",INDEX($C$10:$C$25,MATCH(SUMPRODUCT(($A$10:$A$25&lt;&gt;"")*($D$10:$D$25&lt;=H220))+1,$E$10:$E$25,0)))</f>
        <v/>
      </c>
      <c r="K220" s="24" t="n">
        <f aca="false">IF(H220&gt;=TotalStations,0,IF(B220="Dédié",MIN(FLOOR(420/J220,1),(TotalStations-H220)),MIN(2,(TotalStations-H220))))</f>
        <v>0</v>
      </c>
      <c r="L220" s="24" t="n">
        <f aca="false">H220+K220</f>
        <v>199</v>
      </c>
      <c r="M220" s="24" t="n">
        <f aca="false">Q219</f>
        <v>199</v>
      </c>
      <c r="N220" s="24" t="str">
        <f aca="false">IF(M220&gt;=TotalStations,"Terminé",INDEX($A$10:$A$25,MATCH(SUMPRODUCT(($A$10:$A$25&lt;&gt;"")*($D$10:$D$25&lt;=M220))+1,$E$10:$E$25,0)))</f>
        <v>Terminé</v>
      </c>
      <c r="O220" s="24" t="str">
        <f aca="false">IF(M220&gt;=TotalStations,"",INDEX($C$10:$C$25,MATCH(SUMPRODUCT(($A$10:$A$25&lt;&gt;"")*($D$10:$D$25&lt;=M220))+1,$E$10:$E$25,0)))</f>
        <v/>
      </c>
      <c r="P220" s="24" t="n">
        <f aca="false">IF(M220&gt;=TotalStations,0,MIN(FLOOR(420/O220,1),(TotalStations-M220)))</f>
        <v>0</v>
      </c>
      <c r="Q220" s="24" t="n">
        <f aca="false">M220+P220</f>
        <v>199</v>
      </c>
    </row>
    <row r="221" customFormat="false" ht="15" hidden="false" customHeight="true" outlineLevel="0" collapsed="false">
      <c r="A221" s="37" t="n">
        <f aca="false">WORKDAY(A220,1)</f>
        <v>46482</v>
      </c>
      <c r="B221" s="24" t="str">
        <f aca="false">IF(COUNTIF($B$5:$F$5,A221)&gt;0,"Dédié","Normal")</f>
        <v>Normal</v>
      </c>
      <c r="C221" s="24" t="n">
        <f aca="false">G220</f>
        <v>157</v>
      </c>
      <c r="D221" s="24" t="str">
        <f aca="false">IF(C221&gt;=TotalStations,"Terminé",INDEX($A$10:$A$25,MATCH(SUMPRODUCT(($A$10:$A$25&lt;&gt;"")*($D$10:$D$25&lt;=C221))+1,$E$10:$E$25,0)))</f>
        <v>Shipping</v>
      </c>
      <c r="E221" s="24" t="n">
        <f aca="false">IF(C221&gt;=TotalStations,"",INDEX($C$10:$C$25,MATCH(SUMPRODUCT(($A$10:$A$25&lt;&gt;"")*($D$10:$D$25&lt;=C221))+1,$E$10:$E$25,0)))</f>
        <v>30</v>
      </c>
      <c r="F221" s="24" t="n">
        <f aca="false">IF(C221&gt;=TotalStations,0,IF(B221="Dédié",MIN(FLOOR(420/E221,1),(TotalStations-C221)),MIN(1,(TotalStations-C221))))</f>
        <v>1</v>
      </c>
      <c r="G221" s="24" t="n">
        <f aca="false">C221+F221</f>
        <v>158</v>
      </c>
      <c r="H221" s="24" t="n">
        <f aca="false">L220</f>
        <v>199</v>
      </c>
      <c r="I221" s="24" t="str">
        <f aca="false">IF(H221&gt;=TotalStations,"Terminé",INDEX($A$10:$A$25,MATCH(SUMPRODUCT(($A$10:$A$25&lt;&gt;"")*($D$10:$D$25&lt;=H221))+1,$E$10:$E$25,0)))</f>
        <v>Terminé</v>
      </c>
      <c r="J221" s="24" t="str">
        <f aca="false">IF(H221&gt;=TotalStations,"",INDEX($C$10:$C$25,MATCH(SUMPRODUCT(($A$10:$A$25&lt;&gt;"")*($D$10:$D$25&lt;=H221))+1,$E$10:$E$25,0)))</f>
        <v/>
      </c>
      <c r="K221" s="24" t="n">
        <f aca="false">IF(H221&gt;=TotalStations,0,IF(B221="Dédié",MIN(FLOOR(420/J221,1),(TotalStations-H221)),MIN(2,(TotalStations-H221))))</f>
        <v>0</v>
      </c>
      <c r="L221" s="24" t="n">
        <f aca="false">H221+K221</f>
        <v>199</v>
      </c>
      <c r="M221" s="24" t="n">
        <f aca="false">Q220</f>
        <v>199</v>
      </c>
      <c r="N221" s="24" t="str">
        <f aca="false">IF(M221&gt;=TotalStations,"Terminé",INDEX($A$10:$A$25,MATCH(SUMPRODUCT(($A$10:$A$25&lt;&gt;"")*($D$10:$D$25&lt;=M221))+1,$E$10:$E$25,0)))</f>
        <v>Terminé</v>
      </c>
      <c r="O221" s="24" t="str">
        <f aca="false">IF(M221&gt;=TotalStations,"",INDEX($C$10:$C$25,MATCH(SUMPRODUCT(($A$10:$A$25&lt;&gt;"")*($D$10:$D$25&lt;=M221))+1,$E$10:$E$25,0)))</f>
        <v/>
      </c>
      <c r="P221" s="24" t="n">
        <f aca="false">IF(M221&gt;=TotalStations,0,MIN(FLOOR(420/O221,1),(TotalStations-M221)))</f>
        <v>0</v>
      </c>
      <c r="Q221" s="24" t="n">
        <f aca="false">M221+P221</f>
        <v>199</v>
      </c>
    </row>
    <row r="222" customFormat="false" ht="15" hidden="false" customHeight="true" outlineLevel="0" collapsed="false">
      <c r="A222" s="37" t="n">
        <f aca="false">WORKDAY(A221,1)</f>
        <v>46483</v>
      </c>
      <c r="B222" s="24" t="str">
        <f aca="false">IF(COUNTIF($B$5:$F$5,A222)&gt;0,"Dédié","Normal")</f>
        <v>Normal</v>
      </c>
      <c r="C222" s="24" t="n">
        <f aca="false">G221</f>
        <v>158</v>
      </c>
      <c r="D222" s="24" t="str">
        <f aca="false">IF(C222&gt;=TotalStations,"Terminé",INDEX($A$10:$A$25,MATCH(SUMPRODUCT(($A$10:$A$25&lt;&gt;"")*($D$10:$D$25&lt;=C222))+1,$E$10:$E$25,0)))</f>
        <v>Shipping</v>
      </c>
      <c r="E222" s="24" t="n">
        <f aca="false">IF(C222&gt;=TotalStations,"",INDEX($C$10:$C$25,MATCH(SUMPRODUCT(($A$10:$A$25&lt;&gt;"")*($D$10:$D$25&lt;=C222))+1,$E$10:$E$25,0)))</f>
        <v>30</v>
      </c>
      <c r="F222" s="24" t="n">
        <f aca="false">IF(C222&gt;=TotalStations,0,IF(B222="Dédié",MIN(FLOOR(420/E222,1),(TotalStations-C222)),MIN(1,(TotalStations-C222))))</f>
        <v>1</v>
      </c>
      <c r="G222" s="24" t="n">
        <f aca="false">C222+F222</f>
        <v>159</v>
      </c>
      <c r="H222" s="24" t="n">
        <f aca="false">L221</f>
        <v>199</v>
      </c>
      <c r="I222" s="24" t="str">
        <f aca="false">IF(H222&gt;=TotalStations,"Terminé",INDEX($A$10:$A$25,MATCH(SUMPRODUCT(($A$10:$A$25&lt;&gt;"")*($D$10:$D$25&lt;=H222))+1,$E$10:$E$25,0)))</f>
        <v>Terminé</v>
      </c>
      <c r="J222" s="24" t="str">
        <f aca="false">IF(H222&gt;=TotalStations,"",INDEX($C$10:$C$25,MATCH(SUMPRODUCT(($A$10:$A$25&lt;&gt;"")*($D$10:$D$25&lt;=H222))+1,$E$10:$E$25,0)))</f>
        <v/>
      </c>
      <c r="K222" s="24" t="n">
        <f aca="false">IF(H222&gt;=TotalStations,0,IF(B222="Dédié",MIN(FLOOR(420/J222,1),(TotalStations-H222)),MIN(2,(TotalStations-H222))))</f>
        <v>0</v>
      </c>
      <c r="L222" s="24" t="n">
        <f aca="false">H222+K222</f>
        <v>199</v>
      </c>
      <c r="M222" s="24" t="n">
        <f aca="false">Q221</f>
        <v>199</v>
      </c>
      <c r="N222" s="24" t="str">
        <f aca="false">IF(M222&gt;=TotalStations,"Terminé",INDEX($A$10:$A$25,MATCH(SUMPRODUCT(($A$10:$A$25&lt;&gt;"")*($D$10:$D$25&lt;=M222))+1,$E$10:$E$25,0)))</f>
        <v>Terminé</v>
      </c>
      <c r="O222" s="24" t="str">
        <f aca="false">IF(M222&gt;=TotalStations,"",INDEX($C$10:$C$25,MATCH(SUMPRODUCT(($A$10:$A$25&lt;&gt;"")*($D$10:$D$25&lt;=M222))+1,$E$10:$E$25,0)))</f>
        <v/>
      </c>
      <c r="P222" s="24" t="n">
        <f aca="false">IF(M222&gt;=TotalStations,0,MIN(FLOOR(420/O222,1),(TotalStations-M222)))</f>
        <v>0</v>
      </c>
      <c r="Q222" s="24" t="n">
        <f aca="false">M222+P222</f>
        <v>199</v>
      </c>
    </row>
    <row r="223" customFormat="false" ht="15" hidden="false" customHeight="true" outlineLevel="0" collapsed="false">
      <c r="A223" s="37" t="n">
        <f aca="false">WORKDAY(A222,1)</f>
        <v>46484</v>
      </c>
      <c r="B223" s="24" t="str">
        <f aca="false">IF(COUNTIF($B$5:$F$5,A223)&gt;0,"Dédié","Normal")</f>
        <v>Normal</v>
      </c>
      <c r="C223" s="24" t="n">
        <f aca="false">G222</f>
        <v>159</v>
      </c>
      <c r="D223" s="24" t="str">
        <f aca="false">IF(C223&gt;=TotalStations,"Terminé",INDEX($A$10:$A$25,MATCH(SUMPRODUCT(($A$10:$A$25&lt;&gt;"")*($D$10:$D$25&lt;=C223))+1,$E$10:$E$25,0)))</f>
        <v>XLI4 Receive 3</v>
      </c>
      <c r="E223" s="24" t="n">
        <f aca="false">IF(C223&gt;=TotalStations,"",INDEX($C$10:$C$25,MATCH(SUMPRODUCT(($A$10:$A$25&lt;&gt;"")*($D$10:$D$25&lt;=C223))+1,$E$10:$E$25,0)))</f>
        <v>30</v>
      </c>
      <c r="F223" s="24" t="n">
        <f aca="false">IF(C223&gt;=TotalStations,0,IF(B223="Dédié",MIN(FLOOR(420/E223,1),(TotalStations-C223)),MIN(1,(TotalStations-C223))))</f>
        <v>1</v>
      </c>
      <c r="G223" s="24" t="n">
        <f aca="false">C223+F223</f>
        <v>160</v>
      </c>
      <c r="H223" s="24" t="n">
        <f aca="false">L222</f>
        <v>199</v>
      </c>
      <c r="I223" s="24" t="str">
        <f aca="false">IF(H223&gt;=TotalStations,"Terminé",INDEX($A$10:$A$25,MATCH(SUMPRODUCT(($A$10:$A$25&lt;&gt;"")*($D$10:$D$25&lt;=H223))+1,$E$10:$E$25,0)))</f>
        <v>Terminé</v>
      </c>
      <c r="J223" s="24" t="str">
        <f aca="false">IF(H223&gt;=TotalStations,"",INDEX($C$10:$C$25,MATCH(SUMPRODUCT(($A$10:$A$25&lt;&gt;"")*($D$10:$D$25&lt;=H223))+1,$E$10:$E$25,0)))</f>
        <v/>
      </c>
      <c r="K223" s="24" t="n">
        <f aca="false">IF(H223&gt;=TotalStations,0,IF(B223="Dédié",MIN(FLOOR(420/J223,1),(TotalStations-H223)),MIN(2,(TotalStations-H223))))</f>
        <v>0</v>
      </c>
      <c r="L223" s="24" t="n">
        <f aca="false">H223+K223</f>
        <v>199</v>
      </c>
      <c r="M223" s="24" t="n">
        <f aca="false">Q222</f>
        <v>199</v>
      </c>
      <c r="N223" s="24" t="str">
        <f aca="false">IF(M223&gt;=TotalStations,"Terminé",INDEX($A$10:$A$25,MATCH(SUMPRODUCT(($A$10:$A$25&lt;&gt;"")*($D$10:$D$25&lt;=M223))+1,$E$10:$E$25,0)))</f>
        <v>Terminé</v>
      </c>
      <c r="O223" s="24" t="str">
        <f aca="false">IF(M223&gt;=TotalStations,"",INDEX($C$10:$C$25,MATCH(SUMPRODUCT(($A$10:$A$25&lt;&gt;"")*($D$10:$D$25&lt;=M223))+1,$E$10:$E$25,0)))</f>
        <v/>
      </c>
      <c r="P223" s="24" t="n">
        <f aca="false">IF(M223&gt;=TotalStations,0,MIN(FLOOR(420/O223,1),(TotalStations-M223)))</f>
        <v>0</v>
      </c>
      <c r="Q223" s="24" t="n">
        <f aca="false">M223+P223</f>
        <v>199</v>
      </c>
    </row>
    <row r="224" customFormat="false" ht="15" hidden="false" customHeight="true" outlineLevel="0" collapsed="false">
      <c r="A224" s="37" t="n">
        <f aca="false">WORKDAY(A223,1)</f>
        <v>46485</v>
      </c>
      <c r="B224" s="24" t="str">
        <f aca="false">IF(COUNTIF($B$5:$F$5,A224)&gt;0,"Dédié","Normal")</f>
        <v>Normal</v>
      </c>
      <c r="C224" s="24" t="n">
        <f aca="false">G223</f>
        <v>160</v>
      </c>
      <c r="D224" s="24" t="str">
        <f aca="false">IF(C224&gt;=TotalStations,"Terminé",INDEX($A$10:$A$25,MATCH(SUMPRODUCT(($A$10:$A$25&lt;&gt;"")*($D$10:$D$25&lt;=C224))+1,$E$10:$E$25,0)))</f>
        <v>XLI4 Receive 3</v>
      </c>
      <c r="E224" s="24" t="n">
        <f aca="false">IF(C224&gt;=TotalStations,"",INDEX($C$10:$C$25,MATCH(SUMPRODUCT(($A$10:$A$25&lt;&gt;"")*($D$10:$D$25&lt;=C224))+1,$E$10:$E$25,0)))</f>
        <v>30</v>
      </c>
      <c r="F224" s="24" t="n">
        <f aca="false">IF(C224&gt;=TotalStations,0,IF(B224="Dédié",MIN(FLOOR(420/E224,1),(TotalStations-C224)),MIN(1,(TotalStations-C224))))</f>
        <v>1</v>
      </c>
      <c r="G224" s="24" t="n">
        <f aca="false">C224+F224</f>
        <v>161</v>
      </c>
      <c r="H224" s="24" t="n">
        <f aca="false">L223</f>
        <v>199</v>
      </c>
      <c r="I224" s="24" t="str">
        <f aca="false">IF(H224&gt;=TotalStations,"Terminé",INDEX($A$10:$A$25,MATCH(SUMPRODUCT(($A$10:$A$25&lt;&gt;"")*($D$10:$D$25&lt;=H224))+1,$E$10:$E$25,0)))</f>
        <v>Terminé</v>
      </c>
      <c r="J224" s="24" t="str">
        <f aca="false">IF(H224&gt;=TotalStations,"",INDEX($C$10:$C$25,MATCH(SUMPRODUCT(($A$10:$A$25&lt;&gt;"")*($D$10:$D$25&lt;=H224))+1,$E$10:$E$25,0)))</f>
        <v/>
      </c>
      <c r="K224" s="24" t="n">
        <f aca="false">IF(H224&gt;=TotalStations,0,IF(B224="Dédié",MIN(FLOOR(420/J224,1),(TotalStations-H224)),MIN(2,(TotalStations-H224))))</f>
        <v>0</v>
      </c>
      <c r="L224" s="24" t="n">
        <f aca="false">H224+K224</f>
        <v>199</v>
      </c>
      <c r="M224" s="24" t="n">
        <f aca="false">Q223</f>
        <v>199</v>
      </c>
      <c r="N224" s="24" t="str">
        <f aca="false">IF(M224&gt;=TotalStations,"Terminé",INDEX($A$10:$A$25,MATCH(SUMPRODUCT(($A$10:$A$25&lt;&gt;"")*($D$10:$D$25&lt;=M224))+1,$E$10:$E$25,0)))</f>
        <v>Terminé</v>
      </c>
      <c r="O224" s="24" t="str">
        <f aca="false">IF(M224&gt;=TotalStations,"",INDEX($C$10:$C$25,MATCH(SUMPRODUCT(($A$10:$A$25&lt;&gt;"")*($D$10:$D$25&lt;=M224))+1,$E$10:$E$25,0)))</f>
        <v/>
      </c>
      <c r="P224" s="24" t="n">
        <f aca="false">IF(M224&gt;=TotalStations,0,MIN(FLOOR(420/O224,1),(TotalStations-M224)))</f>
        <v>0</v>
      </c>
      <c r="Q224" s="24" t="n">
        <f aca="false">M224+P224</f>
        <v>199</v>
      </c>
    </row>
    <row r="225" customFormat="false" ht="15" hidden="false" customHeight="true" outlineLevel="0" collapsed="false">
      <c r="A225" s="37" t="n">
        <f aca="false">WORKDAY(A224,1)</f>
        <v>46486</v>
      </c>
      <c r="B225" s="24" t="str">
        <f aca="false">IF(COUNTIF($B$5:$F$5,A225)&gt;0,"Dédié","Normal")</f>
        <v>Normal</v>
      </c>
      <c r="C225" s="24" t="n">
        <f aca="false">G224</f>
        <v>161</v>
      </c>
      <c r="D225" s="24" t="str">
        <f aca="false">IF(C225&gt;=TotalStations,"Terminé",INDEX($A$10:$A$25,MATCH(SUMPRODUCT(($A$10:$A$25&lt;&gt;"")*($D$10:$D$25&lt;=C225))+1,$E$10:$E$25,0)))</f>
        <v>XLI4 Receive 3</v>
      </c>
      <c r="E225" s="24" t="n">
        <f aca="false">IF(C225&gt;=TotalStations,"",INDEX($C$10:$C$25,MATCH(SUMPRODUCT(($A$10:$A$25&lt;&gt;"")*($D$10:$D$25&lt;=C225))+1,$E$10:$E$25,0)))</f>
        <v>30</v>
      </c>
      <c r="F225" s="24" t="n">
        <f aca="false">IF(C225&gt;=TotalStations,0,IF(B225="Dédié",MIN(FLOOR(420/E225,1),(TotalStations-C225)),MIN(1,(TotalStations-C225))))</f>
        <v>1</v>
      </c>
      <c r="G225" s="24" t="n">
        <f aca="false">C225+F225</f>
        <v>162</v>
      </c>
      <c r="H225" s="24" t="n">
        <f aca="false">L224</f>
        <v>199</v>
      </c>
      <c r="I225" s="24" t="str">
        <f aca="false">IF(H225&gt;=TotalStations,"Terminé",INDEX($A$10:$A$25,MATCH(SUMPRODUCT(($A$10:$A$25&lt;&gt;"")*($D$10:$D$25&lt;=H225))+1,$E$10:$E$25,0)))</f>
        <v>Terminé</v>
      </c>
      <c r="J225" s="24" t="str">
        <f aca="false">IF(H225&gt;=TotalStations,"",INDEX($C$10:$C$25,MATCH(SUMPRODUCT(($A$10:$A$25&lt;&gt;"")*($D$10:$D$25&lt;=H225))+1,$E$10:$E$25,0)))</f>
        <v/>
      </c>
      <c r="K225" s="24" t="n">
        <f aca="false">IF(H225&gt;=TotalStations,0,IF(B225="Dédié",MIN(FLOOR(420/J225,1),(TotalStations-H225)),MIN(2,(TotalStations-H225))))</f>
        <v>0</v>
      </c>
      <c r="L225" s="24" t="n">
        <f aca="false">H225+K225</f>
        <v>199</v>
      </c>
      <c r="M225" s="24" t="n">
        <f aca="false">Q224</f>
        <v>199</v>
      </c>
      <c r="N225" s="24" t="str">
        <f aca="false">IF(M225&gt;=TotalStations,"Terminé",INDEX($A$10:$A$25,MATCH(SUMPRODUCT(($A$10:$A$25&lt;&gt;"")*($D$10:$D$25&lt;=M225))+1,$E$10:$E$25,0)))</f>
        <v>Terminé</v>
      </c>
      <c r="O225" s="24" t="str">
        <f aca="false">IF(M225&gt;=TotalStations,"",INDEX($C$10:$C$25,MATCH(SUMPRODUCT(($A$10:$A$25&lt;&gt;"")*($D$10:$D$25&lt;=M225))+1,$E$10:$E$25,0)))</f>
        <v/>
      </c>
      <c r="P225" s="24" t="n">
        <f aca="false">IF(M225&gt;=TotalStations,0,MIN(FLOOR(420/O225,1),(TotalStations-M225)))</f>
        <v>0</v>
      </c>
      <c r="Q225" s="24" t="n">
        <f aca="false">M225+P225</f>
        <v>199</v>
      </c>
    </row>
    <row r="226" customFormat="false" ht="15" hidden="false" customHeight="true" outlineLevel="0" collapsed="false">
      <c r="A226" s="37" t="n">
        <f aca="false">WORKDAY(A225,1)</f>
        <v>46489</v>
      </c>
      <c r="B226" s="24" t="str">
        <f aca="false">IF(COUNTIF($B$5:$F$5,A226)&gt;0,"Dédié","Normal")</f>
        <v>Normal</v>
      </c>
      <c r="C226" s="24" t="n">
        <f aca="false">G225</f>
        <v>162</v>
      </c>
      <c r="D226" s="24" t="str">
        <f aca="false">IF(C226&gt;=TotalStations,"Terminé",INDEX($A$10:$A$25,MATCH(SUMPRODUCT(($A$10:$A$25&lt;&gt;"")*($D$10:$D$25&lt;=C226))+1,$E$10:$E$25,0)))</f>
        <v>XLI4 Receive 3</v>
      </c>
      <c r="E226" s="24" t="n">
        <f aca="false">IF(C226&gt;=TotalStations,"",INDEX($C$10:$C$25,MATCH(SUMPRODUCT(($A$10:$A$25&lt;&gt;"")*($D$10:$D$25&lt;=C226))+1,$E$10:$E$25,0)))</f>
        <v>30</v>
      </c>
      <c r="F226" s="24" t="n">
        <f aca="false">IF(C226&gt;=TotalStations,0,IF(B226="Dédié",MIN(FLOOR(420/E226,1),(TotalStations-C226)),MIN(1,(TotalStations-C226))))</f>
        <v>1</v>
      </c>
      <c r="G226" s="24" t="n">
        <f aca="false">C226+F226</f>
        <v>163</v>
      </c>
      <c r="H226" s="24" t="n">
        <f aca="false">L225</f>
        <v>199</v>
      </c>
      <c r="I226" s="24" t="str">
        <f aca="false">IF(H226&gt;=TotalStations,"Terminé",INDEX($A$10:$A$25,MATCH(SUMPRODUCT(($A$10:$A$25&lt;&gt;"")*($D$10:$D$25&lt;=H226))+1,$E$10:$E$25,0)))</f>
        <v>Terminé</v>
      </c>
      <c r="J226" s="24" t="str">
        <f aca="false">IF(H226&gt;=TotalStations,"",INDEX($C$10:$C$25,MATCH(SUMPRODUCT(($A$10:$A$25&lt;&gt;"")*($D$10:$D$25&lt;=H226))+1,$E$10:$E$25,0)))</f>
        <v/>
      </c>
      <c r="K226" s="24" t="n">
        <f aca="false">IF(H226&gt;=TotalStations,0,IF(B226="Dédié",MIN(FLOOR(420/J226,1),(TotalStations-H226)),MIN(2,(TotalStations-H226))))</f>
        <v>0</v>
      </c>
      <c r="L226" s="24" t="n">
        <f aca="false">H226+K226</f>
        <v>199</v>
      </c>
      <c r="M226" s="24" t="n">
        <f aca="false">Q225</f>
        <v>199</v>
      </c>
      <c r="N226" s="24" t="str">
        <f aca="false">IF(M226&gt;=TotalStations,"Terminé",INDEX($A$10:$A$25,MATCH(SUMPRODUCT(($A$10:$A$25&lt;&gt;"")*($D$10:$D$25&lt;=M226))+1,$E$10:$E$25,0)))</f>
        <v>Terminé</v>
      </c>
      <c r="O226" s="24" t="str">
        <f aca="false">IF(M226&gt;=TotalStations,"",INDEX($C$10:$C$25,MATCH(SUMPRODUCT(($A$10:$A$25&lt;&gt;"")*($D$10:$D$25&lt;=M226))+1,$E$10:$E$25,0)))</f>
        <v/>
      </c>
      <c r="P226" s="24" t="n">
        <f aca="false">IF(M226&gt;=TotalStations,0,MIN(FLOOR(420/O226,1),(TotalStations-M226)))</f>
        <v>0</v>
      </c>
      <c r="Q226" s="24" t="n">
        <f aca="false">M226+P226</f>
        <v>199</v>
      </c>
    </row>
    <row r="227" customFormat="false" ht="15" hidden="false" customHeight="true" outlineLevel="0" collapsed="false">
      <c r="A227" s="37" t="n">
        <f aca="false">WORKDAY(A226,1)</f>
        <v>46490</v>
      </c>
      <c r="B227" s="24" t="str">
        <f aca="false">IF(COUNTIF($B$5:$F$5,A227)&gt;0,"Dédié","Normal")</f>
        <v>Normal</v>
      </c>
      <c r="C227" s="24" t="n">
        <f aca="false">G226</f>
        <v>163</v>
      </c>
      <c r="D227" s="24" t="str">
        <f aca="false">IF(C227&gt;=TotalStations,"Terminé",INDEX($A$10:$A$25,MATCH(SUMPRODUCT(($A$10:$A$25&lt;&gt;"")*($D$10:$D$25&lt;=C227))+1,$E$10:$E$25,0)))</f>
        <v>XLI4 Receive 3</v>
      </c>
      <c r="E227" s="24" t="n">
        <f aca="false">IF(C227&gt;=TotalStations,"",INDEX($C$10:$C$25,MATCH(SUMPRODUCT(($A$10:$A$25&lt;&gt;"")*($D$10:$D$25&lt;=C227))+1,$E$10:$E$25,0)))</f>
        <v>30</v>
      </c>
      <c r="F227" s="24" t="n">
        <f aca="false">IF(C227&gt;=TotalStations,0,IF(B227="Dédié",MIN(FLOOR(420/E227,1),(TotalStations-C227)),MIN(1,(TotalStations-C227))))</f>
        <v>1</v>
      </c>
      <c r="G227" s="24" t="n">
        <f aca="false">C227+F227</f>
        <v>164</v>
      </c>
      <c r="H227" s="24" t="n">
        <f aca="false">L226</f>
        <v>199</v>
      </c>
      <c r="I227" s="24" t="str">
        <f aca="false">IF(H227&gt;=TotalStations,"Terminé",INDEX($A$10:$A$25,MATCH(SUMPRODUCT(($A$10:$A$25&lt;&gt;"")*($D$10:$D$25&lt;=H227))+1,$E$10:$E$25,0)))</f>
        <v>Terminé</v>
      </c>
      <c r="J227" s="24" t="str">
        <f aca="false">IF(H227&gt;=TotalStations,"",INDEX($C$10:$C$25,MATCH(SUMPRODUCT(($A$10:$A$25&lt;&gt;"")*($D$10:$D$25&lt;=H227))+1,$E$10:$E$25,0)))</f>
        <v/>
      </c>
      <c r="K227" s="24" t="n">
        <f aca="false">IF(H227&gt;=TotalStations,0,IF(B227="Dédié",MIN(FLOOR(420/J227,1),(TotalStations-H227)),MIN(2,(TotalStations-H227))))</f>
        <v>0</v>
      </c>
      <c r="L227" s="24" t="n">
        <f aca="false">H227+K227</f>
        <v>199</v>
      </c>
      <c r="M227" s="24" t="n">
        <f aca="false">Q226</f>
        <v>199</v>
      </c>
      <c r="N227" s="24" t="str">
        <f aca="false">IF(M227&gt;=TotalStations,"Terminé",INDEX($A$10:$A$25,MATCH(SUMPRODUCT(($A$10:$A$25&lt;&gt;"")*($D$10:$D$25&lt;=M227))+1,$E$10:$E$25,0)))</f>
        <v>Terminé</v>
      </c>
      <c r="O227" s="24" t="str">
        <f aca="false">IF(M227&gt;=TotalStations,"",INDEX($C$10:$C$25,MATCH(SUMPRODUCT(($A$10:$A$25&lt;&gt;"")*($D$10:$D$25&lt;=M227))+1,$E$10:$E$25,0)))</f>
        <v/>
      </c>
      <c r="P227" s="24" t="n">
        <f aca="false">IF(M227&gt;=TotalStations,0,MIN(FLOOR(420/O227,1),(TotalStations-M227)))</f>
        <v>0</v>
      </c>
      <c r="Q227" s="24" t="n">
        <f aca="false">M227+P227</f>
        <v>199</v>
      </c>
    </row>
    <row r="228" customFormat="false" ht="15" hidden="false" customHeight="true" outlineLevel="0" collapsed="false">
      <c r="A228" s="37" t="n">
        <f aca="false">WORKDAY(A227,1)</f>
        <v>46491</v>
      </c>
      <c r="B228" s="24" t="str">
        <f aca="false">IF(COUNTIF($B$5:$F$5,A228)&gt;0,"Dédié","Normal")</f>
        <v>Normal</v>
      </c>
      <c r="C228" s="24" t="n">
        <f aca="false">G227</f>
        <v>164</v>
      </c>
      <c r="D228" s="24" t="str">
        <f aca="false">IF(C228&gt;=TotalStations,"Terminé",INDEX($A$10:$A$25,MATCH(SUMPRODUCT(($A$10:$A$25&lt;&gt;"")*($D$10:$D$25&lt;=C228))+1,$E$10:$E$25,0)))</f>
        <v>XLI4 Receive 3</v>
      </c>
      <c r="E228" s="24" t="n">
        <f aca="false">IF(C228&gt;=TotalStations,"",INDEX($C$10:$C$25,MATCH(SUMPRODUCT(($A$10:$A$25&lt;&gt;"")*($D$10:$D$25&lt;=C228))+1,$E$10:$E$25,0)))</f>
        <v>30</v>
      </c>
      <c r="F228" s="24" t="n">
        <f aca="false">IF(C228&gt;=TotalStations,0,IF(B228="Dédié",MIN(FLOOR(420/E228,1),(TotalStations-C228)),MIN(1,(TotalStations-C228))))</f>
        <v>1</v>
      </c>
      <c r="G228" s="24" t="n">
        <f aca="false">C228+F228</f>
        <v>165</v>
      </c>
      <c r="H228" s="24" t="n">
        <f aca="false">L227</f>
        <v>199</v>
      </c>
      <c r="I228" s="24" t="str">
        <f aca="false">IF(H228&gt;=TotalStations,"Terminé",INDEX($A$10:$A$25,MATCH(SUMPRODUCT(($A$10:$A$25&lt;&gt;"")*($D$10:$D$25&lt;=H228))+1,$E$10:$E$25,0)))</f>
        <v>Terminé</v>
      </c>
      <c r="J228" s="24" t="str">
        <f aca="false">IF(H228&gt;=TotalStations,"",INDEX($C$10:$C$25,MATCH(SUMPRODUCT(($A$10:$A$25&lt;&gt;"")*($D$10:$D$25&lt;=H228))+1,$E$10:$E$25,0)))</f>
        <v/>
      </c>
      <c r="K228" s="24" t="n">
        <f aca="false">IF(H228&gt;=TotalStations,0,IF(B228="Dédié",MIN(FLOOR(420/J228,1),(TotalStations-H228)),MIN(2,(TotalStations-H228))))</f>
        <v>0</v>
      </c>
      <c r="L228" s="24" t="n">
        <f aca="false">H228+K228</f>
        <v>199</v>
      </c>
      <c r="M228" s="24" t="n">
        <f aca="false">Q227</f>
        <v>199</v>
      </c>
      <c r="N228" s="24" t="str">
        <f aca="false">IF(M228&gt;=TotalStations,"Terminé",INDEX($A$10:$A$25,MATCH(SUMPRODUCT(($A$10:$A$25&lt;&gt;"")*($D$10:$D$25&lt;=M228))+1,$E$10:$E$25,0)))</f>
        <v>Terminé</v>
      </c>
      <c r="O228" s="24" t="str">
        <f aca="false">IF(M228&gt;=TotalStations,"",INDEX($C$10:$C$25,MATCH(SUMPRODUCT(($A$10:$A$25&lt;&gt;"")*($D$10:$D$25&lt;=M228))+1,$E$10:$E$25,0)))</f>
        <v/>
      </c>
      <c r="P228" s="24" t="n">
        <f aca="false">IF(M228&gt;=TotalStations,0,MIN(FLOOR(420/O228,1),(TotalStations-M228)))</f>
        <v>0</v>
      </c>
      <c r="Q228" s="24" t="n">
        <f aca="false">M228+P228</f>
        <v>199</v>
      </c>
    </row>
    <row r="229" customFormat="false" ht="15" hidden="false" customHeight="true" outlineLevel="0" collapsed="false">
      <c r="A229" s="37" t="n">
        <f aca="false">WORKDAY(A228,1)</f>
        <v>46492</v>
      </c>
      <c r="B229" s="24" t="str">
        <f aca="false">IF(COUNTIF($B$5:$F$5,A229)&gt;0,"Dédié","Normal")</f>
        <v>Normal</v>
      </c>
      <c r="C229" s="24" t="n">
        <f aca="false">G228</f>
        <v>165</v>
      </c>
      <c r="D229" s="24" t="str">
        <f aca="false">IF(C229&gt;=TotalStations,"Terminé",INDEX($A$10:$A$25,MATCH(SUMPRODUCT(($A$10:$A$25&lt;&gt;"")*($D$10:$D$25&lt;=C229))+1,$E$10:$E$25,0)))</f>
        <v>XLI4 Receive 3</v>
      </c>
      <c r="E229" s="24" t="n">
        <f aca="false">IF(C229&gt;=TotalStations,"",INDEX($C$10:$C$25,MATCH(SUMPRODUCT(($A$10:$A$25&lt;&gt;"")*($D$10:$D$25&lt;=C229))+1,$E$10:$E$25,0)))</f>
        <v>30</v>
      </c>
      <c r="F229" s="24" t="n">
        <f aca="false">IF(C229&gt;=TotalStations,0,IF(B229="Dédié",MIN(FLOOR(420/E229,1),(TotalStations-C229)),MIN(1,(TotalStations-C229))))</f>
        <v>1</v>
      </c>
      <c r="G229" s="24" t="n">
        <f aca="false">C229+F229</f>
        <v>166</v>
      </c>
      <c r="H229" s="24" t="n">
        <f aca="false">L228</f>
        <v>199</v>
      </c>
      <c r="I229" s="24" t="str">
        <f aca="false">IF(H229&gt;=TotalStations,"Terminé",INDEX($A$10:$A$25,MATCH(SUMPRODUCT(($A$10:$A$25&lt;&gt;"")*($D$10:$D$25&lt;=H229))+1,$E$10:$E$25,0)))</f>
        <v>Terminé</v>
      </c>
      <c r="J229" s="24" t="str">
        <f aca="false">IF(H229&gt;=TotalStations,"",INDEX($C$10:$C$25,MATCH(SUMPRODUCT(($A$10:$A$25&lt;&gt;"")*($D$10:$D$25&lt;=H229))+1,$E$10:$E$25,0)))</f>
        <v/>
      </c>
      <c r="K229" s="24" t="n">
        <f aca="false">IF(H229&gt;=TotalStations,0,IF(B229="Dédié",MIN(FLOOR(420/J229,1),(TotalStations-H229)),MIN(2,(TotalStations-H229))))</f>
        <v>0</v>
      </c>
      <c r="L229" s="24" t="n">
        <f aca="false">H229+K229</f>
        <v>199</v>
      </c>
      <c r="M229" s="24" t="n">
        <f aca="false">Q228</f>
        <v>199</v>
      </c>
      <c r="N229" s="24" t="str">
        <f aca="false">IF(M229&gt;=TotalStations,"Terminé",INDEX($A$10:$A$25,MATCH(SUMPRODUCT(($A$10:$A$25&lt;&gt;"")*($D$10:$D$25&lt;=M229))+1,$E$10:$E$25,0)))</f>
        <v>Terminé</v>
      </c>
      <c r="O229" s="24" t="str">
        <f aca="false">IF(M229&gt;=TotalStations,"",INDEX($C$10:$C$25,MATCH(SUMPRODUCT(($A$10:$A$25&lt;&gt;"")*($D$10:$D$25&lt;=M229))+1,$E$10:$E$25,0)))</f>
        <v/>
      </c>
      <c r="P229" s="24" t="n">
        <f aca="false">IF(M229&gt;=TotalStations,0,MIN(FLOOR(420/O229,1),(TotalStations-M229)))</f>
        <v>0</v>
      </c>
      <c r="Q229" s="24" t="n">
        <f aca="false">M229+P229</f>
        <v>199</v>
      </c>
    </row>
    <row r="230" customFormat="false" ht="15" hidden="false" customHeight="true" outlineLevel="0" collapsed="false">
      <c r="A230" s="37" t="n">
        <f aca="false">WORKDAY(A229,1)</f>
        <v>46493</v>
      </c>
      <c r="B230" s="24" t="str">
        <f aca="false">IF(COUNTIF($B$5:$F$5,A230)&gt;0,"Dédié","Normal")</f>
        <v>Normal</v>
      </c>
      <c r="C230" s="24" t="n">
        <f aca="false">G229</f>
        <v>166</v>
      </c>
      <c r="D230" s="24" t="str">
        <f aca="false">IF(C230&gt;=TotalStations,"Terminé",INDEX($A$10:$A$25,MATCH(SUMPRODUCT(($A$10:$A$25&lt;&gt;"")*($D$10:$D$25&lt;=C230))+1,$E$10:$E$25,0)))</f>
        <v>XLI4 Receive 3</v>
      </c>
      <c r="E230" s="24" t="n">
        <f aca="false">IF(C230&gt;=TotalStations,"",INDEX($C$10:$C$25,MATCH(SUMPRODUCT(($A$10:$A$25&lt;&gt;"")*($D$10:$D$25&lt;=C230))+1,$E$10:$E$25,0)))</f>
        <v>30</v>
      </c>
      <c r="F230" s="24" t="n">
        <f aca="false">IF(C230&gt;=TotalStations,0,IF(B230="Dédié",MIN(FLOOR(420/E230,1),(TotalStations-C230)),MIN(1,(TotalStations-C230))))</f>
        <v>1</v>
      </c>
      <c r="G230" s="24" t="n">
        <f aca="false">C230+F230</f>
        <v>167</v>
      </c>
      <c r="H230" s="24" t="n">
        <f aca="false">L229</f>
        <v>199</v>
      </c>
      <c r="I230" s="24" t="str">
        <f aca="false">IF(H230&gt;=TotalStations,"Terminé",INDEX($A$10:$A$25,MATCH(SUMPRODUCT(($A$10:$A$25&lt;&gt;"")*($D$10:$D$25&lt;=H230))+1,$E$10:$E$25,0)))</f>
        <v>Terminé</v>
      </c>
      <c r="J230" s="24" t="str">
        <f aca="false">IF(H230&gt;=TotalStations,"",INDEX($C$10:$C$25,MATCH(SUMPRODUCT(($A$10:$A$25&lt;&gt;"")*($D$10:$D$25&lt;=H230))+1,$E$10:$E$25,0)))</f>
        <v/>
      </c>
      <c r="K230" s="24" t="n">
        <f aca="false">IF(H230&gt;=TotalStations,0,IF(B230="Dédié",MIN(FLOOR(420/J230,1),(TotalStations-H230)),MIN(2,(TotalStations-H230))))</f>
        <v>0</v>
      </c>
      <c r="L230" s="24" t="n">
        <f aca="false">H230+K230</f>
        <v>199</v>
      </c>
      <c r="M230" s="24" t="n">
        <f aca="false">Q229</f>
        <v>199</v>
      </c>
      <c r="N230" s="24" t="str">
        <f aca="false">IF(M230&gt;=TotalStations,"Terminé",INDEX($A$10:$A$25,MATCH(SUMPRODUCT(($A$10:$A$25&lt;&gt;"")*($D$10:$D$25&lt;=M230))+1,$E$10:$E$25,0)))</f>
        <v>Terminé</v>
      </c>
      <c r="O230" s="24" t="str">
        <f aca="false">IF(M230&gt;=TotalStations,"",INDEX($C$10:$C$25,MATCH(SUMPRODUCT(($A$10:$A$25&lt;&gt;"")*($D$10:$D$25&lt;=M230))+1,$E$10:$E$25,0)))</f>
        <v/>
      </c>
      <c r="P230" s="24" t="n">
        <f aca="false">IF(M230&gt;=TotalStations,0,MIN(FLOOR(420/O230,1),(TotalStations-M230)))</f>
        <v>0</v>
      </c>
      <c r="Q230" s="24" t="n">
        <f aca="false">M230+P230</f>
        <v>199</v>
      </c>
    </row>
    <row r="231" customFormat="false" ht="15" hidden="false" customHeight="true" outlineLevel="0" collapsed="false">
      <c r="A231" s="37" t="n">
        <f aca="false">WORKDAY(A230,1)</f>
        <v>46496</v>
      </c>
      <c r="B231" s="24" t="str">
        <f aca="false">IF(COUNTIF($B$5:$F$5,A231)&gt;0,"Dédié","Normal")</f>
        <v>Normal</v>
      </c>
      <c r="C231" s="24" t="n">
        <f aca="false">G230</f>
        <v>167</v>
      </c>
      <c r="D231" s="24" t="str">
        <f aca="false">IF(C231&gt;=TotalStations,"Terminé",INDEX($A$10:$A$25,MATCH(SUMPRODUCT(($A$10:$A$25&lt;&gt;"")*($D$10:$D$25&lt;=C231))+1,$E$10:$E$25,0)))</f>
        <v>XLI4 Receive 3</v>
      </c>
      <c r="E231" s="24" t="n">
        <f aca="false">IF(C231&gt;=TotalStations,"",INDEX($C$10:$C$25,MATCH(SUMPRODUCT(($A$10:$A$25&lt;&gt;"")*($D$10:$D$25&lt;=C231))+1,$E$10:$E$25,0)))</f>
        <v>30</v>
      </c>
      <c r="F231" s="24" t="n">
        <f aca="false">IF(C231&gt;=TotalStations,0,IF(B231="Dédié",MIN(FLOOR(420/E231,1),(TotalStations-C231)),MIN(1,(TotalStations-C231))))</f>
        <v>1</v>
      </c>
      <c r="G231" s="24" t="n">
        <f aca="false">C231+F231</f>
        <v>168</v>
      </c>
      <c r="H231" s="24" t="n">
        <f aca="false">L230</f>
        <v>199</v>
      </c>
      <c r="I231" s="24" t="str">
        <f aca="false">IF(H231&gt;=TotalStations,"Terminé",INDEX($A$10:$A$25,MATCH(SUMPRODUCT(($A$10:$A$25&lt;&gt;"")*($D$10:$D$25&lt;=H231))+1,$E$10:$E$25,0)))</f>
        <v>Terminé</v>
      </c>
      <c r="J231" s="24" t="str">
        <f aca="false">IF(H231&gt;=TotalStations,"",INDEX($C$10:$C$25,MATCH(SUMPRODUCT(($A$10:$A$25&lt;&gt;"")*($D$10:$D$25&lt;=H231))+1,$E$10:$E$25,0)))</f>
        <v/>
      </c>
      <c r="K231" s="24" t="n">
        <f aca="false">IF(H231&gt;=TotalStations,0,IF(B231="Dédié",MIN(FLOOR(420/J231,1),(TotalStations-H231)),MIN(2,(TotalStations-H231))))</f>
        <v>0</v>
      </c>
      <c r="L231" s="24" t="n">
        <f aca="false">H231+K231</f>
        <v>199</v>
      </c>
      <c r="M231" s="24" t="n">
        <f aca="false">Q230</f>
        <v>199</v>
      </c>
      <c r="N231" s="24" t="str">
        <f aca="false">IF(M231&gt;=TotalStations,"Terminé",INDEX($A$10:$A$25,MATCH(SUMPRODUCT(($A$10:$A$25&lt;&gt;"")*($D$10:$D$25&lt;=M231))+1,$E$10:$E$25,0)))</f>
        <v>Terminé</v>
      </c>
      <c r="O231" s="24" t="str">
        <f aca="false">IF(M231&gt;=TotalStations,"",INDEX($C$10:$C$25,MATCH(SUMPRODUCT(($A$10:$A$25&lt;&gt;"")*($D$10:$D$25&lt;=M231))+1,$E$10:$E$25,0)))</f>
        <v/>
      </c>
      <c r="P231" s="24" t="n">
        <f aca="false">IF(M231&gt;=TotalStations,0,MIN(FLOOR(420/O231,1),(TotalStations-M231)))</f>
        <v>0</v>
      </c>
      <c r="Q231" s="24" t="n">
        <f aca="false">M231+P231</f>
        <v>199</v>
      </c>
    </row>
    <row r="232" customFormat="false" ht="15" hidden="false" customHeight="true" outlineLevel="0" collapsed="false">
      <c r="A232" s="37" t="n">
        <f aca="false">WORKDAY(A231,1)</f>
        <v>46497</v>
      </c>
      <c r="B232" s="24" t="str">
        <f aca="false">IF(COUNTIF($B$5:$F$5,A232)&gt;0,"Dédié","Normal")</f>
        <v>Normal</v>
      </c>
      <c r="C232" s="24" t="n">
        <f aca="false">G231</f>
        <v>168</v>
      </c>
      <c r="D232" s="24" t="str">
        <f aca="false">IF(C232&gt;=TotalStations,"Terminé",INDEX($A$10:$A$25,MATCH(SUMPRODUCT(($A$10:$A$25&lt;&gt;"")*($D$10:$D$25&lt;=C232))+1,$E$10:$E$25,0)))</f>
        <v>XLI4 Receive 3</v>
      </c>
      <c r="E232" s="24" t="n">
        <f aca="false">IF(C232&gt;=TotalStations,"",INDEX($C$10:$C$25,MATCH(SUMPRODUCT(($A$10:$A$25&lt;&gt;"")*($D$10:$D$25&lt;=C232))+1,$E$10:$E$25,0)))</f>
        <v>30</v>
      </c>
      <c r="F232" s="24" t="n">
        <f aca="false">IF(C232&gt;=TotalStations,0,IF(B232="Dédié",MIN(FLOOR(420/E232,1),(TotalStations-C232)),MIN(1,(TotalStations-C232))))</f>
        <v>1</v>
      </c>
      <c r="G232" s="24" t="n">
        <f aca="false">C232+F232</f>
        <v>169</v>
      </c>
      <c r="H232" s="24" t="n">
        <f aca="false">L231</f>
        <v>199</v>
      </c>
      <c r="I232" s="24" t="str">
        <f aca="false">IF(H232&gt;=TotalStations,"Terminé",INDEX($A$10:$A$25,MATCH(SUMPRODUCT(($A$10:$A$25&lt;&gt;"")*($D$10:$D$25&lt;=H232))+1,$E$10:$E$25,0)))</f>
        <v>Terminé</v>
      </c>
      <c r="J232" s="24" t="str">
        <f aca="false">IF(H232&gt;=TotalStations,"",INDEX($C$10:$C$25,MATCH(SUMPRODUCT(($A$10:$A$25&lt;&gt;"")*($D$10:$D$25&lt;=H232))+1,$E$10:$E$25,0)))</f>
        <v/>
      </c>
      <c r="K232" s="24" t="n">
        <f aca="false">IF(H232&gt;=TotalStations,0,IF(B232="Dédié",MIN(FLOOR(420/J232,1),(TotalStations-H232)),MIN(2,(TotalStations-H232))))</f>
        <v>0</v>
      </c>
      <c r="L232" s="24" t="n">
        <f aca="false">H232+K232</f>
        <v>199</v>
      </c>
      <c r="M232" s="24" t="n">
        <f aca="false">Q231</f>
        <v>199</v>
      </c>
      <c r="N232" s="24" t="str">
        <f aca="false">IF(M232&gt;=TotalStations,"Terminé",INDEX($A$10:$A$25,MATCH(SUMPRODUCT(($A$10:$A$25&lt;&gt;"")*($D$10:$D$25&lt;=M232))+1,$E$10:$E$25,0)))</f>
        <v>Terminé</v>
      </c>
      <c r="O232" s="24" t="str">
        <f aca="false">IF(M232&gt;=TotalStations,"",INDEX($C$10:$C$25,MATCH(SUMPRODUCT(($A$10:$A$25&lt;&gt;"")*($D$10:$D$25&lt;=M232))+1,$E$10:$E$25,0)))</f>
        <v/>
      </c>
      <c r="P232" s="24" t="n">
        <f aca="false">IF(M232&gt;=TotalStations,0,MIN(FLOOR(420/O232,1),(TotalStations-M232)))</f>
        <v>0</v>
      </c>
      <c r="Q232" s="24" t="n">
        <f aca="false">M232+P232</f>
        <v>199</v>
      </c>
    </row>
    <row r="233" customFormat="false" ht="15" hidden="false" customHeight="true" outlineLevel="0" collapsed="false">
      <c r="A233" s="37" t="n">
        <f aca="false">WORKDAY(A232,1)</f>
        <v>46498</v>
      </c>
      <c r="B233" s="24" t="str">
        <f aca="false">IF(COUNTIF($B$5:$F$5,A233)&gt;0,"Dédié","Normal")</f>
        <v>Normal</v>
      </c>
      <c r="C233" s="24" t="n">
        <f aca="false">G232</f>
        <v>169</v>
      </c>
      <c r="D233" s="24" t="str">
        <f aca="false">IF(C233&gt;=TotalStations,"Terminé",INDEX($A$10:$A$25,MATCH(SUMPRODUCT(($A$10:$A$25&lt;&gt;"")*($D$10:$D$25&lt;=C233))+1,$E$10:$E$25,0)))</f>
        <v>XLI4 Receive 3</v>
      </c>
      <c r="E233" s="24" t="n">
        <f aca="false">IF(C233&gt;=TotalStations,"",INDEX($C$10:$C$25,MATCH(SUMPRODUCT(($A$10:$A$25&lt;&gt;"")*($D$10:$D$25&lt;=C233))+1,$E$10:$E$25,0)))</f>
        <v>30</v>
      </c>
      <c r="F233" s="24" t="n">
        <f aca="false">IF(C233&gt;=TotalStations,0,IF(B233="Dédié",MIN(FLOOR(420/E233,1),(TotalStations-C233)),MIN(1,(TotalStations-C233))))</f>
        <v>1</v>
      </c>
      <c r="G233" s="24" t="n">
        <f aca="false">C233+F233</f>
        <v>170</v>
      </c>
      <c r="H233" s="24" t="n">
        <f aca="false">L232</f>
        <v>199</v>
      </c>
      <c r="I233" s="24" t="str">
        <f aca="false">IF(H233&gt;=TotalStations,"Terminé",INDEX($A$10:$A$25,MATCH(SUMPRODUCT(($A$10:$A$25&lt;&gt;"")*($D$10:$D$25&lt;=H233))+1,$E$10:$E$25,0)))</f>
        <v>Terminé</v>
      </c>
      <c r="J233" s="24" t="str">
        <f aca="false">IF(H233&gt;=TotalStations,"",INDEX($C$10:$C$25,MATCH(SUMPRODUCT(($A$10:$A$25&lt;&gt;"")*($D$10:$D$25&lt;=H233))+1,$E$10:$E$25,0)))</f>
        <v/>
      </c>
      <c r="K233" s="24" t="n">
        <f aca="false">IF(H233&gt;=TotalStations,0,IF(B233="Dédié",MIN(FLOOR(420/J233,1),(TotalStations-H233)),MIN(2,(TotalStations-H233))))</f>
        <v>0</v>
      </c>
      <c r="L233" s="24" t="n">
        <f aca="false">H233+K233</f>
        <v>199</v>
      </c>
      <c r="M233" s="24" t="n">
        <f aca="false">Q232</f>
        <v>199</v>
      </c>
      <c r="N233" s="24" t="str">
        <f aca="false">IF(M233&gt;=TotalStations,"Terminé",INDEX($A$10:$A$25,MATCH(SUMPRODUCT(($A$10:$A$25&lt;&gt;"")*($D$10:$D$25&lt;=M233))+1,$E$10:$E$25,0)))</f>
        <v>Terminé</v>
      </c>
      <c r="O233" s="24" t="str">
        <f aca="false">IF(M233&gt;=TotalStations,"",INDEX($C$10:$C$25,MATCH(SUMPRODUCT(($A$10:$A$25&lt;&gt;"")*($D$10:$D$25&lt;=M233))+1,$E$10:$E$25,0)))</f>
        <v/>
      </c>
      <c r="P233" s="24" t="n">
        <f aca="false">IF(M233&gt;=TotalStations,0,MIN(FLOOR(420/O233,1),(TotalStations-M233)))</f>
        <v>0</v>
      </c>
      <c r="Q233" s="24" t="n">
        <f aca="false">M233+P233</f>
        <v>199</v>
      </c>
    </row>
    <row r="234" customFormat="false" ht="15" hidden="false" customHeight="true" outlineLevel="0" collapsed="false">
      <c r="A234" s="37" t="n">
        <f aca="false">WORKDAY(A233,1)</f>
        <v>46499</v>
      </c>
      <c r="B234" s="24" t="str">
        <f aca="false">IF(COUNTIF($B$5:$F$5,A234)&gt;0,"Dédié","Normal")</f>
        <v>Normal</v>
      </c>
      <c r="C234" s="24" t="n">
        <f aca="false">G233</f>
        <v>170</v>
      </c>
      <c r="D234" s="24" t="str">
        <f aca="false">IF(C234&gt;=TotalStations,"Terminé",INDEX($A$10:$A$25,MATCH(SUMPRODUCT(($A$10:$A$25&lt;&gt;"")*($D$10:$D$25&lt;=C234))+1,$E$10:$E$25,0)))</f>
        <v>XLI4 Receive 3</v>
      </c>
      <c r="E234" s="24" t="n">
        <f aca="false">IF(C234&gt;=TotalStations,"",INDEX($C$10:$C$25,MATCH(SUMPRODUCT(($A$10:$A$25&lt;&gt;"")*($D$10:$D$25&lt;=C234))+1,$E$10:$E$25,0)))</f>
        <v>30</v>
      </c>
      <c r="F234" s="24" t="n">
        <f aca="false">IF(C234&gt;=TotalStations,0,IF(B234="Dédié",MIN(FLOOR(420/E234,1),(TotalStations-C234)),MIN(1,(TotalStations-C234))))</f>
        <v>1</v>
      </c>
      <c r="G234" s="24" t="n">
        <f aca="false">C234+F234</f>
        <v>171</v>
      </c>
      <c r="H234" s="24" t="n">
        <f aca="false">L233</f>
        <v>199</v>
      </c>
      <c r="I234" s="24" t="str">
        <f aca="false">IF(H234&gt;=TotalStations,"Terminé",INDEX($A$10:$A$25,MATCH(SUMPRODUCT(($A$10:$A$25&lt;&gt;"")*($D$10:$D$25&lt;=H234))+1,$E$10:$E$25,0)))</f>
        <v>Terminé</v>
      </c>
      <c r="J234" s="24" t="str">
        <f aca="false">IF(H234&gt;=TotalStations,"",INDEX($C$10:$C$25,MATCH(SUMPRODUCT(($A$10:$A$25&lt;&gt;"")*($D$10:$D$25&lt;=H234))+1,$E$10:$E$25,0)))</f>
        <v/>
      </c>
      <c r="K234" s="24" t="n">
        <f aca="false">IF(H234&gt;=TotalStations,0,IF(B234="Dédié",MIN(FLOOR(420/J234,1),(TotalStations-H234)),MIN(2,(TotalStations-H234))))</f>
        <v>0</v>
      </c>
      <c r="L234" s="24" t="n">
        <f aca="false">H234+K234</f>
        <v>199</v>
      </c>
      <c r="M234" s="24" t="n">
        <f aca="false">Q233</f>
        <v>199</v>
      </c>
      <c r="N234" s="24" t="str">
        <f aca="false">IF(M234&gt;=TotalStations,"Terminé",INDEX($A$10:$A$25,MATCH(SUMPRODUCT(($A$10:$A$25&lt;&gt;"")*($D$10:$D$25&lt;=M234))+1,$E$10:$E$25,0)))</f>
        <v>Terminé</v>
      </c>
      <c r="O234" s="24" t="str">
        <f aca="false">IF(M234&gt;=TotalStations,"",INDEX($C$10:$C$25,MATCH(SUMPRODUCT(($A$10:$A$25&lt;&gt;"")*($D$10:$D$25&lt;=M234))+1,$E$10:$E$25,0)))</f>
        <v/>
      </c>
      <c r="P234" s="24" t="n">
        <f aca="false">IF(M234&gt;=TotalStations,0,MIN(FLOOR(420/O234,1),(TotalStations-M234)))</f>
        <v>0</v>
      </c>
      <c r="Q234" s="24" t="n">
        <f aca="false">M234+P234</f>
        <v>199</v>
      </c>
    </row>
    <row r="235" customFormat="false" ht="15" hidden="false" customHeight="true" outlineLevel="0" collapsed="false">
      <c r="A235" s="37" t="n">
        <f aca="false">WORKDAY(A234,1)</f>
        <v>46500</v>
      </c>
      <c r="B235" s="24" t="str">
        <f aca="false">IF(COUNTIF($B$5:$F$5,A235)&gt;0,"Dédié","Normal")</f>
        <v>Normal</v>
      </c>
      <c r="C235" s="24" t="n">
        <f aca="false">G234</f>
        <v>171</v>
      </c>
      <c r="D235" s="24" t="str">
        <f aca="false">IF(C235&gt;=TotalStations,"Terminé",INDEX($A$10:$A$25,MATCH(SUMPRODUCT(($A$10:$A$25&lt;&gt;"")*($D$10:$D$25&lt;=C235))+1,$E$10:$E$25,0)))</f>
        <v>XLI4 Receive 3</v>
      </c>
      <c r="E235" s="24" t="n">
        <f aca="false">IF(C235&gt;=TotalStations,"",INDEX($C$10:$C$25,MATCH(SUMPRODUCT(($A$10:$A$25&lt;&gt;"")*($D$10:$D$25&lt;=C235))+1,$E$10:$E$25,0)))</f>
        <v>30</v>
      </c>
      <c r="F235" s="24" t="n">
        <f aca="false">IF(C235&gt;=TotalStations,0,IF(B235="Dédié",MIN(FLOOR(420/E235,1),(TotalStations-C235)),MIN(1,(TotalStations-C235))))</f>
        <v>1</v>
      </c>
      <c r="G235" s="24" t="n">
        <f aca="false">C235+F235</f>
        <v>172</v>
      </c>
      <c r="H235" s="24" t="n">
        <f aca="false">L234</f>
        <v>199</v>
      </c>
      <c r="I235" s="24" t="str">
        <f aca="false">IF(H235&gt;=TotalStations,"Terminé",INDEX($A$10:$A$25,MATCH(SUMPRODUCT(($A$10:$A$25&lt;&gt;"")*($D$10:$D$25&lt;=H235))+1,$E$10:$E$25,0)))</f>
        <v>Terminé</v>
      </c>
      <c r="J235" s="24" t="str">
        <f aca="false">IF(H235&gt;=TotalStations,"",INDEX($C$10:$C$25,MATCH(SUMPRODUCT(($A$10:$A$25&lt;&gt;"")*($D$10:$D$25&lt;=H235))+1,$E$10:$E$25,0)))</f>
        <v/>
      </c>
      <c r="K235" s="24" t="n">
        <f aca="false">IF(H235&gt;=TotalStations,0,IF(B235="Dédié",MIN(FLOOR(420/J235,1),(TotalStations-H235)),MIN(2,(TotalStations-H235))))</f>
        <v>0</v>
      </c>
      <c r="L235" s="24" t="n">
        <f aca="false">H235+K235</f>
        <v>199</v>
      </c>
      <c r="M235" s="24" t="n">
        <f aca="false">Q234</f>
        <v>199</v>
      </c>
      <c r="N235" s="24" t="str">
        <f aca="false">IF(M235&gt;=TotalStations,"Terminé",INDEX($A$10:$A$25,MATCH(SUMPRODUCT(($A$10:$A$25&lt;&gt;"")*($D$10:$D$25&lt;=M235))+1,$E$10:$E$25,0)))</f>
        <v>Terminé</v>
      </c>
      <c r="O235" s="24" t="str">
        <f aca="false">IF(M235&gt;=TotalStations,"",INDEX($C$10:$C$25,MATCH(SUMPRODUCT(($A$10:$A$25&lt;&gt;"")*($D$10:$D$25&lt;=M235))+1,$E$10:$E$25,0)))</f>
        <v/>
      </c>
      <c r="P235" s="24" t="n">
        <f aca="false">IF(M235&gt;=TotalStations,0,MIN(FLOOR(420/O235,1),(TotalStations-M235)))</f>
        <v>0</v>
      </c>
      <c r="Q235" s="24" t="n">
        <f aca="false">M235+P235</f>
        <v>199</v>
      </c>
    </row>
    <row r="236" customFormat="false" ht="15" hidden="false" customHeight="true" outlineLevel="0" collapsed="false">
      <c r="A236" s="37" t="n">
        <f aca="false">WORKDAY(A235,1)</f>
        <v>46503</v>
      </c>
      <c r="B236" s="24" t="str">
        <f aca="false">IF(COUNTIF($B$5:$F$5,A236)&gt;0,"Dédié","Normal")</f>
        <v>Normal</v>
      </c>
      <c r="C236" s="24" t="n">
        <f aca="false">G235</f>
        <v>172</v>
      </c>
      <c r="D236" s="24" t="str">
        <f aca="false">IF(C236&gt;=TotalStations,"Terminé",INDEX($A$10:$A$25,MATCH(SUMPRODUCT(($A$10:$A$25&lt;&gt;"")*($D$10:$D$25&lt;=C236))+1,$E$10:$E$25,0)))</f>
        <v>XLI4 Receive 3</v>
      </c>
      <c r="E236" s="24" t="n">
        <f aca="false">IF(C236&gt;=TotalStations,"",INDEX($C$10:$C$25,MATCH(SUMPRODUCT(($A$10:$A$25&lt;&gt;"")*($D$10:$D$25&lt;=C236))+1,$E$10:$E$25,0)))</f>
        <v>30</v>
      </c>
      <c r="F236" s="24" t="n">
        <f aca="false">IF(C236&gt;=TotalStations,0,IF(B236="Dédié",MIN(FLOOR(420/E236,1),(TotalStations-C236)),MIN(1,(TotalStations-C236))))</f>
        <v>1</v>
      </c>
      <c r="G236" s="24" t="n">
        <f aca="false">C236+F236</f>
        <v>173</v>
      </c>
      <c r="H236" s="24" t="n">
        <f aca="false">L235</f>
        <v>199</v>
      </c>
      <c r="I236" s="24" t="str">
        <f aca="false">IF(H236&gt;=TotalStations,"Terminé",INDEX($A$10:$A$25,MATCH(SUMPRODUCT(($A$10:$A$25&lt;&gt;"")*($D$10:$D$25&lt;=H236))+1,$E$10:$E$25,0)))</f>
        <v>Terminé</v>
      </c>
      <c r="J236" s="24" t="str">
        <f aca="false">IF(H236&gt;=TotalStations,"",INDEX($C$10:$C$25,MATCH(SUMPRODUCT(($A$10:$A$25&lt;&gt;"")*($D$10:$D$25&lt;=H236))+1,$E$10:$E$25,0)))</f>
        <v/>
      </c>
      <c r="K236" s="24" t="n">
        <f aca="false">IF(H236&gt;=TotalStations,0,IF(B236="Dédié",MIN(FLOOR(420/J236,1),(TotalStations-H236)),MIN(2,(TotalStations-H236))))</f>
        <v>0</v>
      </c>
      <c r="L236" s="24" t="n">
        <f aca="false">H236+K236</f>
        <v>199</v>
      </c>
      <c r="M236" s="24" t="n">
        <f aca="false">Q235</f>
        <v>199</v>
      </c>
      <c r="N236" s="24" t="str">
        <f aca="false">IF(M236&gt;=TotalStations,"Terminé",INDEX($A$10:$A$25,MATCH(SUMPRODUCT(($A$10:$A$25&lt;&gt;"")*($D$10:$D$25&lt;=M236))+1,$E$10:$E$25,0)))</f>
        <v>Terminé</v>
      </c>
      <c r="O236" s="24" t="str">
        <f aca="false">IF(M236&gt;=TotalStations,"",INDEX($C$10:$C$25,MATCH(SUMPRODUCT(($A$10:$A$25&lt;&gt;"")*($D$10:$D$25&lt;=M236))+1,$E$10:$E$25,0)))</f>
        <v/>
      </c>
      <c r="P236" s="24" t="n">
        <f aca="false">IF(M236&gt;=TotalStations,0,MIN(FLOOR(420/O236,1),(TotalStations-M236)))</f>
        <v>0</v>
      </c>
      <c r="Q236" s="24" t="n">
        <f aca="false">M236+P236</f>
        <v>199</v>
      </c>
    </row>
    <row r="237" customFormat="false" ht="15" hidden="false" customHeight="true" outlineLevel="0" collapsed="false">
      <c r="A237" s="37" t="n">
        <f aca="false">WORKDAY(A236,1)</f>
        <v>46504</v>
      </c>
      <c r="B237" s="24" t="str">
        <f aca="false">IF(COUNTIF($B$5:$F$5,A237)&gt;0,"Dédié","Normal")</f>
        <v>Normal</v>
      </c>
      <c r="C237" s="24" t="n">
        <f aca="false">G236</f>
        <v>173</v>
      </c>
      <c r="D237" s="24" t="str">
        <f aca="false">IF(C237&gt;=TotalStations,"Terminé",INDEX($A$10:$A$25,MATCH(SUMPRODUCT(($A$10:$A$25&lt;&gt;"")*($D$10:$D$25&lt;=C237))+1,$E$10:$E$25,0)))</f>
        <v>XLI4 Receive 3</v>
      </c>
      <c r="E237" s="24" t="n">
        <f aca="false">IF(C237&gt;=TotalStations,"",INDEX($C$10:$C$25,MATCH(SUMPRODUCT(($A$10:$A$25&lt;&gt;"")*($D$10:$D$25&lt;=C237))+1,$E$10:$E$25,0)))</f>
        <v>30</v>
      </c>
      <c r="F237" s="24" t="n">
        <f aca="false">IF(C237&gt;=TotalStations,0,IF(B237="Dédié",MIN(FLOOR(420/E237,1),(TotalStations-C237)),MIN(1,(TotalStations-C237))))</f>
        <v>1</v>
      </c>
      <c r="G237" s="24" t="n">
        <f aca="false">C237+F237</f>
        <v>174</v>
      </c>
      <c r="H237" s="24" t="n">
        <f aca="false">L236</f>
        <v>199</v>
      </c>
      <c r="I237" s="24" t="str">
        <f aca="false">IF(H237&gt;=TotalStations,"Terminé",INDEX($A$10:$A$25,MATCH(SUMPRODUCT(($A$10:$A$25&lt;&gt;"")*($D$10:$D$25&lt;=H237))+1,$E$10:$E$25,0)))</f>
        <v>Terminé</v>
      </c>
      <c r="J237" s="24" t="str">
        <f aca="false">IF(H237&gt;=TotalStations,"",INDEX($C$10:$C$25,MATCH(SUMPRODUCT(($A$10:$A$25&lt;&gt;"")*($D$10:$D$25&lt;=H237))+1,$E$10:$E$25,0)))</f>
        <v/>
      </c>
      <c r="K237" s="24" t="n">
        <f aca="false">IF(H237&gt;=TotalStations,0,IF(B237="Dédié",MIN(FLOOR(420/J237,1),(TotalStations-H237)),MIN(2,(TotalStations-H237))))</f>
        <v>0</v>
      </c>
      <c r="L237" s="24" t="n">
        <f aca="false">H237+K237</f>
        <v>199</v>
      </c>
      <c r="M237" s="24" t="n">
        <f aca="false">Q236</f>
        <v>199</v>
      </c>
      <c r="N237" s="24" t="str">
        <f aca="false">IF(M237&gt;=TotalStations,"Terminé",INDEX($A$10:$A$25,MATCH(SUMPRODUCT(($A$10:$A$25&lt;&gt;"")*($D$10:$D$25&lt;=M237))+1,$E$10:$E$25,0)))</f>
        <v>Terminé</v>
      </c>
      <c r="O237" s="24" t="str">
        <f aca="false">IF(M237&gt;=TotalStations,"",INDEX($C$10:$C$25,MATCH(SUMPRODUCT(($A$10:$A$25&lt;&gt;"")*($D$10:$D$25&lt;=M237))+1,$E$10:$E$25,0)))</f>
        <v/>
      </c>
      <c r="P237" s="24" t="n">
        <f aca="false">IF(M237&gt;=TotalStations,0,MIN(FLOOR(420/O237,1),(TotalStations-M237)))</f>
        <v>0</v>
      </c>
      <c r="Q237" s="24" t="n">
        <f aca="false">M237+P237</f>
        <v>199</v>
      </c>
    </row>
    <row r="238" customFormat="false" ht="15" hidden="false" customHeight="true" outlineLevel="0" collapsed="false">
      <c r="A238" s="37" t="n">
        <f aca="false">WORKDAY(A237,1)</f>
        <v>46505</v>
      </c>
      <c r="B238" s="24" t="str">
        <f aca="false">IF(COUNTIF($B$5:$F$5,A238)&gt;0,"Dédié","Normal")</f>
        <v>Normal</v>
      </c>
      <c r="C238" s="24" t="n">
        <f aca="false">G237</f>
        <v>174</v>
      </c>
      <c r="D238" s="24" t="str">
        <f aca="false">IF(C238&gt;=TotalStations,"Terminé",INDEX($A$10:$A$25,MATCH(SUMPRODUCT(($A$10:$A$25&lt;&gt;"")*($D$10:$D$25&lt;=C238))+1,$E$10:$E$25,0)))</f>
        <v>XLI4 Receive 3</v>
      </c>
      <c r="E238" s="24" t="n">
        <f aca="false">IF(C238&gt;=TotalStations,"",INDEX($C$10:$C$25,MATCH(SUMPRODUCT(($A$10:$A$25&lt;&gt;"")*($D$10:$D$25&lt;=C238))+1,$E$10:$E$25,0)))</f>
        <v>30</v>
      </c>
      <c r="F238" s="24" t="n">
        <f aca="false">IF(C238&gt;=TotalStations,0,IF(B238="Dédié",MIN(FLOOR(420/E238,1),(TotalStations-C238)),MIN(1,(TotalStations-C238))))</f>
        <v>1</v>
      </c>
      <c r="G238" s="24" t="n">
        <f aca="false">C238+F238</f>
        <v>175</v>
      </c>
      <c r="H238" s="24" t="n">
        <f aca="false">L237</f>
        <v>199</v>
      </c>
      <c r="I238" s="24" t="str">
        <f aca="false">IF(H238&gt;=TotalStations,"Terminé",INDEX($A$10:$A$25,MATCH(SUMPRODUCT(($A$10:$A$25&lt;&gt;"")*($D$10:$D$25&lt;=H238))+1,$E$10:$E$25,0)))</f>
        <v>Terminé</v>
      </c>
      <c r="J238" s="24" t="str">
        <f aca="false">IF(H238&gt;=TotalStations,"",INDEX($C$10:$C$25,MATCH(SUMPRODUCT(($A$10:$A$25&lt;&gt;"")*($D$10:$D$25&lt;=H238))+1,$E$10:$E$25,0)))</f>
        <v/>
      </c>
      <c r="K238" s="24" t="n">
        <f aca="false">IF(H238&gt;=TotalStations,0,IF(B238="Dédié",MIN(FLOOR(420/J238,1),(TotalStations-H238)),MIN(2,(TotalStations-H238))))</f>
        <v>0</v>
      </c>
      <c r="L238" s="24" t="n">
        <f aca="false">H238+K238</f>
        <v>199</v>
      </c>
      <c r="M238" s="24" t="n">
        <f aca="false">Q237</f>
        <v>199</v>
      </c>
      <c r="N238" s="24" t="str">
        <f aca="false">IF(M238&gt;=TotalStations,"Terminé",INDEX($A$10:$A$25,MATCH(SUMPRODUCT(($A$10:$A$25&lt;&gt;"")*($D$10:$D$25&lt;=M238))+1,$E$10:$E$25,0)))</f>
        <v>Terminé</v>
      </c>
      <c r="O238" s="24" t="str">
        <f aca="false">IF(M238&gt;=TotalStations,"",INDEX($C$10:$C$25,MATCH(SUMPRODUCT(($A$10:$A$25&lt;&gt;"")*($D$10:$D$25&lt;=M238))+1,$E$10:$E$25,0)))</f>
        <v/>
      </c>
      <c r="P238" s="24" t="n">
        <f aca="false">IF(M238&gt;=TotalStations,0,MIN(FLOOR(420/O238,1),(TotalStations-M238)))</f>
        <v>0</v>
      </c>
      <c r="Q238" s="24" t="n">
        <f aca="false">M238+P238</f>
        <v>199</v>
      </c>
    </row>
    <row r="239" customFormat="false" ht="15" hidden="false" customHeight="true" outlineLevel="0" collapsed="false">
      <c r="A239" s="37" t="n">
        <f aca="false">WORKDAY(A238,1)</f>
        <v>46506</v>
      </c>
      <c r="B239" s="24" t="str">
        <f aca="false">IF(COUNTIF($B$5:$F$5,A239)&gt;0,"Dédié","Normal")</f>
        <v>Normal</v>
      </c>
      <c r="C239" s="24" t="n">
        <f aca="false">G238</f>
        <v>175</v>
      </c>
      <c r="D239" s="24" t="str">
        <f aca="false">IF(C239&gt;=TotalStations,"Terminé",INDEX($A$10:$A$25,MATCH(SUMPRODUCT(($A$10:$A$25&lt;&gt;"")*($D$10:$D$25&lt;=C239))+1,$E$10:$E$25,0)))</f>
        <v>XLI4 Receive 1</v>
      </c>
      <c r="E239" s="24" t="n">
        <f aca="false">IF(C239&gt;=TotalStations,"",INDEX($C$10:$C$25,MATCH(SUMPRODUCT(($A$10:$A$25&lt;&gt;"")*($D$10:$D$25&lt;=C239))+1,$E$10:$E$25,0)))</f>
        <v>30</v>
      </c>
      <c r="F239" s="24" t="n">
        <f aca="false">IF(C239&gt;=TotalStations,0,IF(B239="Dédié",MIN(FLOOR(420/E239,1),(TotalStations-C239)),MIN(1,(TotalStations-C239))))</f>
        <v>1</v>
      </c>
      <c r="G239" s="24" t="n">
        <f aca="false">C239+F239</f>
        <v>176</v>
      </c>
      <c r="H239" s="24" t="n">
        <f aca="false">L238</f>
        <v>199</v>
      </c>
      <c r="I239" s="24" t="str">
        <f aca="false">IF(H239&gt;=TotalStations,"Terminé",INDEX($A$10:$A$25,MATCH(SUMPRODUCT(($A$10:$A$25&lt;&gt;"")*($D$10:$D$25&lt;=H239))+1,$E$10:$E$25,0)))</f>
        <v>Terminé</v>
      </c>
      <c r="J239" s="24" t="str">
        <f aca="false">IF(H239&gt;=TotalStations,"",INDEX($C$10:$C$25,MATCH(SUMPRODUCT(($A$10:$A$25&lt;&gt;"")*($D$10:$D$25&lt;=H239))+1,$E$10:$E$25,0)))</f>
        <v/>
      </c>
      <c r="K239" s="24" t="n">
        <f aca="false">IF(H239&gt;=TotalStations,0,IF(B239="Dédié",MIN(FLOOR(420/J239,1),(TotalStations-H239)),MIN(2,(TotalStations-H239))))</f>
        <v>0</v>
      </c>
      <c r="L239" s="24" t="n">
        <f aca="false">H239+K239</f>
        <v>199</v>
      </c>
      <c r="M239" s="24" t="n">
        <f aca="false">Q238</f>
        <v>199</v>
      </c>
      <c r="N239" s="24" t="str">
        <f aca="false">IF(M239&gt;=TotalStations,"Terminé",INDEX($A$10:$A$25,MATCH(SUMPRODUCT(($A$10:$A$25&lt;&gt;"")*($D$10:$D$25&lt;=M239))+1,$E$10:$E$25,0)))</f>
        <v>Terminé</v>
      </c>
      <c r="O239" s="24" t="str">
        <f aca="false">IF(M239&gt;=TotalStations,"",INDEX($C$10:$C$25,MATCH(SUMPRODUCT(($A$10:$A$25&lt;&gt;"")*($D$10:$D$25&lt;=M239))+1,$E$10:$E$25,0)))</f>
        <v/>
      </c>
      <c r="P239" s="24" t="n">
        <f aca="false">IF(M239&gt;=TotalStations,0,MIN(FLOOR(420/O239,1),(TotalStations-M239)))</f>
        <v>0</v>
      </c>
      <c r="Q239" s="24" t="n">
        <f aca="false">M239+P239</f>
        <v>199</v>
      </c>
    </row>
    <row r="240" customFormat="false" ht="15" hidden="false" customHeight="true" outlineLevel="0" collapsed="false">
      <c r="A240" s="37" t="n">
        <f aca="false">WORKDAY(A239,1)</f>
        <v>46507</v>
      </c>
      <c r="B240" s="24" t="str">
        <f aca="false">IF(COUNTIF($B$5:$F$5,A240)&gt;0,"Dédié","Normal")</f>
        <v>Normal</v>
      </c>
      <c r="C240" s="24" t="n">
        <f aca="false">G239</f>
        <v>176</v>
      </c>
      <c r="D240" s="24" t="str">
        <f aca="false">IF(C240&gt;=TotalStations,"Terminé",INDEX($A$10:$A$25,MATCH(SUMPRODUCT(($A$10:$A$25&lt;&gt;"")*($D$10:$D$25&lt;=C240))+1,$E$10:$E$25,0)))</f>
        <v>XLI4 Receive 1</v>
      </c>
      <c r="E240" s="24" t="n">
        <f aca="false">IF(C240&gt;=TotalStations,"",INDEX($C$10:$C$25,MATCH(SUMPRODUCT(($A$10:$A$25&lt;&gt;"")*($D$10:$D$25&lt;=C240))+1,$E$10:$E$25,0)))</f>
        <v>30</v>
      </c>
      <c r="F240" s="24" t="n">
        <f aca="false">IF(C240&gt;=TotalStations,0,IF(B240="Dédié",MIN(FLOOR(420/E240,1),(TotalStations-C240)),MIN(1,(TotalStations-C240))))</f>
        <v>1</v>
      </c>
      <c r="G240" s="24" t="n">
        <f aca="false">C240+F240</f>
        <v>177</v>
      </c>
      <c r="H240" s="24" t="n">
        <f aca="false">L239</f>
        <v>199</v>
      </c>
      <c r="I240" s="24" t="str">
        <f aca="false">IF(H240&gt;=TotalStations,"Terminé",INDEX($A$10:$A$25,MATCH(SUMPRODUCT(($A$10:$A$25&lt;&gt;"")*($D$10:$D$25&lt;=H240))+1,$E$10:$E$25,0)))</f>
        <v>Terminé</v>
      </c>
      <c r="J240" s="24" t="str">
        <f aca="false">IF(H240&gt;=TotalStations,"",INDEX($C$10:$C$25,MATCH(SUMPRODUCT(($A$10:$A$25&lt;&gt;"")*($D$10:$D$25&lt;=H240))+1,$E$10:$E$25,0)))</f>
        <v/>
      </c>
      <c r="K240" s="24" t="n">
        <f aca="false">IF(H240&gt;=TotalStations,0,IF(B240="Dédié",MIN(FLOOR(420/J240,1),(TotalStations-H240)),MIN(2,(TotalStations-H240))))</f>
        <v>0</v>
      </c>
      <c r="L240" s="24" t="n">
        <f aca="false">H240+K240</f>
        <v>199</v>
      </c>
      <c r="M240" s="24" t="n">
        <f aca="false">Q239</f>
        <v>199</v>
      </c>
      <c r="N240" s="24" t="str">
        <f aca="false">IF(M240&gt;=TotalStations,"Terminé",INDEX($A$10:$A$25,MATCH(SUMPRODUCT(($A$10:$A$25&lt;&gt;"")*($D$10:$D$25&lt;=M240))+1,$E$10:$E$25,0)))</f>
        <v>Terminé</v>
      </c>
      <c r="O240" s="24" t="str">
        <f aca="false">IF(M240&gt;=TotalStations,"",INDEX($C$10:$C$25,MATCH(SUMPRODUCT(($A$10:$A$25&lt;&gt;"")*($D$10:$D$25&lt;=M240))+1,$E$10:$E$25,0)))</f>
        <v/>
      </c>
      <c r="P240" s="24" t="n">
        <f aca="false">IF(M240&gt;=TotalStations,0,MIN(FLOOR(420/O240,1),(TotalStations-M240)))</f>
        <v>0</v>
      </c>
      <c r="Q240" s="24" t="n">
        <f aca="false">M240+P240</f>
        <v>199</v>
      </c>
    </row>
    <row r="241" customFormat="false" ht="15" hidden="false" customHeight="true" outlineLevel="0" collapsed="false">
      <c r="A241" s="37" t="n">
        <f aca="false">WORKDAY(A240,1)</f>
        <v>46510</v>
      </c>
      <c r="B241" s="24" t="str">
        <f aca="false">IF(COUNTIF($B$5:$F$5,A241)&gt;0,"Dédié","Normal")</f>
        <v>Normal</v>
      </c>
      <c r="C241" s="24" t="n">
        <f aca="false">G240</f>
        <v>177</v>
      </c>
      <c r="D241" s="24" t="str">
        <f aca="false">IF(C241&gt;=TotalStations,"Terminé",INDEX($A$10:$A$25,MATCH(SUMPRODUCT(($A$10:$A$25&lt;&gt;"")*($D$10:$D$25&lt;=C241))+1,$E$10:$E$25,0)))</f>
        <v>XLI4 Receive 1</v>
      </c>
      <c r="E241" s="24" t="n">
        <f aca="false">IF(C241&gt;=TotalStations,"",INDEX($C$10:$C$25,MATCH(SUMPRODUCT(($A$10:$A$25&lt;&gt;"")*($D$10:$D$25&lt;=C241))+1,$E$10:$E$25,0)))</f>
        <v>30</v>
      </c>
      <c r="F241" s="24" t="n">
        <f aca="false">IF(C241&gt;=TotalStations,0,IF(B241="Dédié",MIN(FLOOR(420/E241,1),(TotalStations-C241)),MIN(1,(TotalStations-C241))))</f>
        <v>1</v>
      </c>
      <c r="G241" s="24" t="n">
        <f aca="false">C241+F241</f>
        <v>178</v>
      </c>
      <c r="H241" s="24" t="n">
        <f aca="false">L240</f>
        <v>199</v>
      </c>
      <c r="I241" s="24" t="str">
        <f aca="false">IF(H241&gt;=TotalStations,"Terminé",INDEX($A$10:$A$25,MATCH(SUMPRODUCT(($A$10:$A$25&lt;&gt;"")*($D$10:$D$25&lt;=H241))+1,$E$10:$E$25,0)))</f>
        <v>Terminé</v>
      </c>
      <c r="J241" s="24" t="str">
        <f aca="false">IF(H241&gt;=TotalStations,"",INDEX($C$10:$C$25,MATCH(SUMPRODUCT(($A$10:$A$25&lt;&gt;"")*($D$10:$D$25&lt;=H241))+1,$E$10:$E$25,0)))</f>
        <v/>
      </c>
      <c r="K241" s="24" t="n">
        <f aca="false">IF(H241&gt;=TotalStations,0,IF(B241="Dédié",MIN(FLOOR(420/J241,1),(TotalStations-H241)),MIN(2,(TotalStations-H241))))</f>
        <v>0</v>
      </c>
      <c r="L241" s="24" t="n">
        <f aca="false">H241+K241</f>
        <v>199</v>
      </c>
      <c r="M241" s="24" t="n">
        <f aca="false">Q240</f>
        <v>199</v>
      </c>
      <c r="N241" s="24" t="str">
        <f aca="false">IF(M241&gt;=TotalStations,"Terminé",INDEX($A$10:$A$25,MATCH(SUMPRODUCT(($A$10:$A$25&lt;&gt;"")*($D$10:$D$25&lt;=M241))+1,$E$10:$E$25,0)))</f>
        <v>Terminé</v>
      </c>
      <c r="O241" s="24" t="str">
        <f aca="false">IF(M241&gt;=TotalStations,"",INDEX($C$10:$C$25,MATCH(SUMPRODUCT(($A$10:$A$25&lt;&gt;"")*($D$10:$D$25&lt;=M241))+1,$E$10:$E$25,0)))</f>
        <v/>
      </c>
      <c r="P241" s="24" t="n">
        <f aca="false">IF(M241&gt;=TotalStations,0,MIN(FLOOR(420/O241,1),(TotalStations-M241)))</f>
        <v>0</v>
      </c>
      <c r="Q241" s="24" t="n">
        <f aca="false">M241+P241</f>
        <v>199</v>
      </c>
    </row>
    <row r="242" customFormat="false" ht="15" hidden="false" customHeight="true" outlineLevel="0" collapsed="false">
      <c r="A242" s="37" t="n">
        <f aca="false">WORKDAY(A241,1)</f>
        <v>46511</v>
      </c>
      <c r="B242" s="24" t="str">
        <f aca="false">IF(COUNTIF($B$5:$F$5,A242)&gt;0,"Dédié","Normal")</f>
        <v>Normal</v>
      </c>
      <c r="C242" s="24" t="n">
        <f aca="false">G241</f>
        <v>178</v>
      </c>
      <c r="D242" s="24" t="str">
        <f aca="false">IF(C242&gt;=TotalStations,"Terminé",INDEX($A$10:$A$25,MATCH(SUMPRODUCT(($A$10:$A$25&lt;&gt;"")*($D$10:$D$25&lt;=C242))+1,$E$10:$E$25,0)))</f>
        <v>XLI4 Receive 1</v>
      </c>
      <c r="E242" s="24" t="n">
        <f aca="false">IF(C242&gt;=TotalStations,"",INDEX($C$10:$C$25,MATCH(SUMPRODUCT(($A$10:$A$25&lt;&gt;"")*($D$10:$D$25&lt;=C242))+1,$E$10:$E$25,0)))</f>
        <v>30</v>
      </c>
      <c r="F242" s="24" t="n">
        <f aca="false">IF(C242&gt;=TotalStations,0,IF(B242="Dédié",MIN(FLOOR(420/E242,1),(TotalStations-C242)),MIN(1,(TotalStations-C242))))</f>
        <v>1</v>
      </c>
      <c r="G242" s="24" t="n">
        <f aca="false">C242+F242</f>
        <v>179</v>
      </c>
      <c r="H242" s="24" t="n">
        <f aca="false">L241</f>
        <v>199</v>
      </c>
      <c r="I242" s="24" t="str">
        <f aca="false">IF(H242&gt;=TotalStations,"Terminé",INDEX($A$10:$A$25,MATCH(SUMPRODUCT(($A$10:$A$25&lt;&gt;"")*($D$10:$D$25&lt;=H242))+1,$E$10:$E$25,0)))</f>
        <v>Terminé</v>
      </c>
      <c r="J242" s="24" t="str">
        <f aca="false">IF(H242&gt;=TotalStations,"",INDEX($C$10:$C$25,MATCH(SUMPRODUCT(($A$10:$A$25&lt;&gt;"")*($D$10:$D$25&lt;=H242))+1,$E$10:$E$25,0)))</f>
        <v/>
      </c>
      <c r="K242" s="24" t="n">
        <f aca="false">IF(H242&gt;=TotalStations,0,IF(B242="Dédié",MIN(FLOOR(420/J242,1),(TotalStations-H242)),MIN(2,(TotalStations-H242))))</f>
        <v>0</v>
      </c>
      <c r="L242" s="24" t="n">
        <f aca="false">H242+K242</f>
        <v>199</v>
      </c>
      <c r="M242" s="24" t="n">
        <f aca="false">Q241</f>
        <v>199</v>
      </c>
      <c r="N242" s="24" t="str">
        <f aca="false">IF(M242&gt;=TotalStations,"Terminé",INDEX($A$10:$A$25,MATCH(SUMPRODUCT(($A$10:$A$25&lt;&gt;"")*($D$10:$D$25&lt;=M242))+1,$E$10:$E$25,0)))</f>
        <v>Terminé</v>
      </c>
      <c r="O242" s="24" t="str">
        <f aca="false">IF(M242&gt;=TotalStations,"",INDEX($C$10:$C$25,MATCH(SUMPRODUCT(($A$10:$A$25&lt;&gt;"")*($D$10:$D$25&lt;=M242))+1,$E$10:$E$25,0)))</f>
        <v/>
      </c>
      <c r="P242" s="24" t="n">
        <f aca="false">IF(M242&gt;=TotalStations,0,MIN(FLOOR(420/O242,1),(TotalStations-M242)))</f>
        <v>0</v>
      </c>
      <c r="Q242" s="24" t="n">
        <f aca="false">M242+P242</f>
        <v>199</v>
      </c>
    </row>
    <row r="243" customFormat="false" ht="15" hidden="false" customHeight="true" outlineLevel="0" collapsed="false">
      <c r="A243" s="37" t="n">
        <f aca="false">WORKDAY(A242,1)</f>
        <v>46512</v>
      </c>
      <c r="B243" s="24" t="str">
        <f aca="false">IF(COUNTIF($B$5:$F$5,A243)&gt;0,"Dédié","Normal")</f>
        <v>Normal</v>
      </c>
      <c r="C243" s="24" t="n">
        <f aca="false">G242</f>
        <v>179</v>
      </c>
      <c r="D243" s="24" t="str">
        <f aca="false">IF(C243&gt;=TotalStations,"Terminé",INDEX($A$10:$A$25,MATCH(SUMPRODUCT(($A$10:$A$25&lt;&gt;"")*($D$10:$D$25&lt;=C243))+1,$E$10:$E$25,0)))</f>
        <v>XLI4 Receive 1</v>
      </c>
      <c r="E243" s="24" t="n">
        <f aca="false">IF(C243&gt;=TotalStations,"",INDEX($C$10:$C$25,MATCH(SUMPRODUCT(($A$10:$A$25&lt;&gt;"")*($D$10:$D$25&lt;=C243))+1,$E$10:$E$25,0)))</f>
        <v>30</v>
      </c>
      <c r="F243" s="24" t="n">
        <f aca="false">IF(C243&gt;=TotalStations,0,IF(B243="Dédié",MIN(FLOOR(420/E243,1),(TotalStations-C243)),MIN(1,(TotalStations-C243))))</f>
        <v>1</v>
      </c>
      <c r="G243" s="24" t="n">
        <f aca="false">C243+F243</f>
        <v>180</v>
      </c>
      <c r="H243" s="24" t="n">
        <f aca="false">L242</f>
        <v>199</v>
      </c>
      <c r="I243" s="24" t="str">
        <f aca="false">IF(H243&gt;=TotalStations,"Terminé",INDEX($A$10:$A$25,MATCH(SUMPRODUCT(($A$10:$A$25&lt;&gt;"")*($D$10:$D$25&lt;=H243))+1,$E$10:$E$25,0)))</f>
        <v>Terminé</v>
      </c>
      <c r="J243" s="24" t="str">
        <f aca="false">IF(H243&gt;=TotalStations,"",INDEX($C$10:$C$25,MATCH(SUMPRODUCT(($A$10:$A$25&lt;&gt;"")*($D$10:$D$25&lt;=H243))+1,$E$10:$E$25,0)))</f>
        <v/>
      </c>
      <c r="K243" s="24" t="n">
        <f aca="false">IF(H243&gt;=TotalStations,0,IF(B243="Dédié",MIN(FLOOR(420/J243,1),(TotalStations-H243)),MIN(2,(TotalStations-H243))))</f>
        <v>0</v>
      </c>
      <c r="L243" s="24" t="n">
        <f aca="false">H243+K243</f>
        <v>199</v>
      </c>
      <c r="M243" s="24" t="n">
        <f aca="false">Q242</f>
        <v>199</v>
      </c>
      <c r="N243" s="24" t="str">
        <f aca="false">IF(M243&gt;=TotalStations,"Terminé",INDEX($A$10:$A$25,MATCH(SUMPRODUCT(($A$10:$A$25&lt;&gt;"")*($D$10:$D$25&lt;=M243))+1,$E$10:$E$25,0)))</f>
        <v>Terminé</v>
      </c>
      <c r="O243" s="24" t="str">
        <f aca="false">IF(M243&gt;=TotalStations,"",INDEX($C$10:$C$25,MATCH(SUMPRODUCT(($A$10:$A$25&lt;&gt;"")*($D$10:$D$25&lt;=M243))+1,$E$10:$E$25,0)))</f>
        <v/>
      </c>
      <c r="P243" s="24" t="n">
        <f aca="false">IF(M243&gt;=TotalStations,0,MIN(FLOOR(420/O243,1),(TotalStations-M243)))</f>
        <v>0</v>
      </c>
      <c r="Q243" s="24" t="n">
        <f aca="false">M243+P243</f>
        <v>199</v>
      </c>
    </row>
    <row r="244" customFormat="false" ht="15" hidden="false" customHeight="true" outlineLevel="0" collapsed="false">
      <c r="A244" s="37" t="n">
        <f aca="false">WORKDAY(A243,1)</f>
        <v>46513</v>
      </c>
      <c r="B244" s="24" t="str">
        <f aca="false">IF(COUNTIF($B$5:$F$5,A244)&gt;0,"Dédié","Normal")</f>
        <v>Normal</v>
      </c>
      <c r="C244" s="24" t="n">
        <f aca="false">G243</f>
        <v>180</v>
      </c>
      <c r="D244" s="24" t="str">
        <f aca="false">IF(C244&gt;=TotalStations,"Terminé",INDEX($A$10:$A$25,MATCH(SUMPRODUCT(($A$10:$A$25&lt;&gt;"")*($D$10:$D$25&lt;=C244))+1,$E$10:$E$25,0)))</f>
        <v>XLI4 Receive 1</v>
      </c>
      <c r="E244" s="24" t="n">
        <f aca="false">IF(C244&gt;=TotalStations,"",INDEX($C$10:$C$25,MATCH(SUMPRODUCT(($A$10:$A$25&lt;&gt;"")*($D$10:$D$25&lt;=C244))+1,$E$10:$E$25,0)))</f>
        <v>30</v>
      </c>
      <c r="F244" s="24" t="n">
        <f aca="false">IF(C244&gt;=TotalStations,0,IF(B244="Dédié",MIN(FLOOR(420/E244,1),(TotalStations-C244)),MIN(1,(TotalStations-C244))))</f>
        <v>1</v>
      </c>
      <c r="G244" s="24" t="n">
        <f aca="false">C244+F244</f>
        <v>181</v>
      </c>
      <c r="H244" s="24" t="n">
        <f aca="false">L243</f>
        <v>199</v>
      </c>
      <c r="I244" s="24" t="str">
        <f aca="false">IF(H244&gt;=TotalStations,"Terminé",INDEX($A$10:$A$25,MATCH(SUMPRODUCT(($A$10:$A$25&lt;&gt;"")*($D$10:$D$25&lt;=H244))+1,$E$10:$E$25,0)))</f>
        <v>Terminé</v>
      </c>
      <c r="J244" s="24" t="str">
        <f aca="false">IF(H244&gt;=TotalStations,"",INDEX($C$10:$C$25,MATCH(SUMPRODUCT(($A$10:$A$25&lt;&gt;"")*($D$10:$D$25&lt;=H244))+1,$E$10:$E$25,0)))</f>
        <v/>
      </c>
      <c r="K244" s="24" t="n">
        <f aca="false">IF(H244&gt;=TotalStations,0,IF(B244="Dédié",MIN(FLOOR(420/J244,1),(TotalStations-H244)),MIN(2,(TotalStations-H244))))</f>
        <v>0</v>
      </c>
      <c r="L244" s="24" t="n">
        <f aca="false">H244+K244</f>
        <v>199</v>
      </c>
      <c r="M244" s="24" t="n">
        <f aca="false">Q243</f>
        <v>199</v>
      </c>
      <c r="N244" s="24" t="str">
        <f aca="false">IF(M244&gt;=TotalStations,"Terminé",INDEX($A$10:$A$25,MATCH(SUMPRODUCT(($A$10:$A$25&lt;&gt;"")*($D$10:$D$25&lt;=M244))+1,$E$10:$E$25,0)))</f>
        <v>Terminé</v>
      </c>
      <c r="O244" s="24" t="str">
        <f aca="false">IF(M244&gt;=TotalStations,"",INDEX($C$10:$C$25,MATCH(SUMPRODUCT(($A$10:$A$25&lt;&gt;"")*($D$10:$D$25&lt;=M244))+1,$E$10:$E$25,0)))</f>
        <v/>
      </c>
      <c r="P244" s="24" t="n">
        <f aca="false">IF(M244&gt;=TotalStations,0,MIN(FLOOR(420/O244,1),(TotalStations-M244)))</f>
        <v>0</v>
      </c>
      <c r="Q244" s="24" t="n">
        <f aca="false">M244+P244</f>
        <v>199</v>
      </c>
    </row>
    <row r="245" customFormat="false" ht="15" hidden="false" customHeight="true" outlineLevel="0" collapsed="false">
      <c r="A245" s="37" t="n">
        <f aca="false">WORKDAY(A244,1)</f>
        <v>46514</v>
      </c>
      <c r="B245" s="24" t="str">
        <f aca="false">IF(COUNTIF($B$5:$F$5,A245)&gt;0,"Dédié","Normal")</f>
        <v>Normal</v>
      </c>
      <c r="C245" s="24" t="n">
        <f aca="false">G244</f>
        <v>181</v>
      </c>
      <c r="D245" s="24" t="str">
        <f aca="false">IF(C245&gt;=TotalStations,"Terminé",INDEX($A$10:$A$25,MATCH(SUMPRODUCT(($A$10:$A$25&lt;&gt;"")*($D$10:$D$25&lt;=C245))+1,$E$10:$E$25,0)))</f>
        <v>XLI4 Receive 2</v>
      </c>
      <c r="E245" s="24" t="n">
        <f aca="false">IF(C245&gt;=TotalStations,"",INDEX($C$10:$C$25,MATCH(SUMPRODUCT(($A$10:$A$25&lt;&gt;"")*($D$10:$D$25&lt;=C245))+1,$E$10:$E$25,0)))</f>
        <v>30</v>
      </c>
      <c r="F245" s="24" t="n">
        <f aca="false">IF(C245&gt;=TotalStations,0,IF(B245="Dédié",MIN(FLOOR(420/E245,1),(TotalStations-C245)),MIN(1,(TotalStations-C245))))</f>
        <v>1</v>
      </c>
      <c r="G245" s="24" t="n">
        <f aca="false">C245+F245</f>
        <v>182</v>
      </c>
      <c r="H245" s="24" t="n">
        <f aca="false">L244</f>
        <v>199</v>
      </c>
      <c r="I245" s="24" t="str">
        <f aca="false">IF(H245&gt;=TotalStations,"Terminé",INDEX($A$10:$A$25,MATCH(SUMPRODUCT(($A$10:$A$25&lt;&gt;"")*($D$10:$D$25&lt;=H245))+1,$E$10:$E$25,0)))</f>
        <v>Terminé</v>
      </c>
      <c r="J245" s="24" t="str">
        <f aca="false">IF(H245&gt;=TotalStations,"",INDEX($C$10:$C$25,MATCH(SUMPRODUCT(($A$10:$A$25&lt;&gt;"")*($D$10:$D$25&lt;=H245))+1,$E$10:$E$25,0)))</f>
        <v/>
      </c>
      <c r="K245" s="24" t="n">
        <f aca="false">IF(H245&gt;=TotalStations,0,IF(B245="Dédié",MIN(FLOOR(420/J245,1),(TotalStations-H245)),MIN(2,(TotalStations-H245))))</f>
        <v>0</v>
      </c>
      <c r="L245" s="24" t="n">
        <f aca="false">H245+K245</f>
        <v>199</v>
      </c>
      <c r="M245" s="24" t="n">
        <f aca="false">Q244</f>
        <v>199</v>
      </c>
      <c r="N245" s="24" t="str">
        <f aca="false">IF(M245&gt;=TotalStations,"Terminé",INDEX($A$10:$A$25,MATCH(SUMPRODUCT(($A$10:$A$25&lt;&gt;"")*($D$10:$D$25&lt;=M245))+1,$E$10:$E$25,0)))</f>
        <v>Terminé</v>
      </c>
      <c r="O245" s="24" t="str">
        <f aca="false">IF(M245&gt;=TotalStations,"",INDEX($C$10:$C$25,MATCH(SUMPRODUCT(($A$10:$A$25&lt;&gt;"")*($D$10:$D$25&lt;=M245))+1,$E$10:$E$25,0)))</f>
        <v/>
      </c>
      <c r="P245" s="24" t="n">
        <f aca="false">IF(M245&gt;=TotalStations,0,MIN(FLOOR(420/O245,1),(TotalStations-M245)))</f>
        <v>0</v>
      </c>
      <c r="Q245" s="24" t="n">
        <f aca="false">M245+P245</f>
        <v>199</v>
      </c>
    </row>
    <row r="246" customFormat="false" ht="15" hidden="false" customHeight="true" outlineLevel="0" collapsed="false">
      <c r="A246" s="37" t="n">
        <f aca="false">WORKDAY(A245,1)</f>
        <v>46517</v>
      </c>
      <c r="B246" s="24" t="str">
        <f aca="false">IF(COUNTIF($B$5:$F$5,A246)&gt;0,"Dédié","Normal")</f>
        <v>Normal</v>
      </c>
      <c r="C246" s="24" t="n">
        <f aca="false">G245</f>
        <v>182</v>
      </c>
      <c r="D246" s="24" t="str">
        <f aca="false">IF(C246&gt;=TotalStations,"Terminé",INDEX($A$10:$A$25,MATCH(SUMPRODUCT(($A$10:$A$25&lt;&gt;"")*($D$10:$D$25&lt;=C246))+1,$E$10:$E$25,0)))</f>
        <v>XLI4 Receive 2</v>
      </c>
      <c r="E246" s="24" t="n">
        <f aca="false">IF(C246&gt;=TotalStations,"",INDEX($C$10:$C$25,MATCH(SUMPRODUCT(($A$10:$A$25&lt;&gt;"")*($D$10:$D$25&lt;=C246))+1,$E$10:$E$25,0)))</f>
        <v>30</v>
      </c>
      <c r="F246" s="24" t="n">
        <f aca="false">IF(C246&gt;=TotalStations,0,IF(B246="Dédié",MIN(FLOOR(420/E246,1),(TotalStations-C246)),MIN(1,(TotalStations-C246))))</f>
        <v>1</v>
      </c>
      <c r="G246" s="24" t="n">
        <f aca="false">C246+F246</f>
        <v>183</v>
      </c>
      <c r="H246" s="24" t="n">
        <f aca="false">L245</f>
        <v>199</v>
      </c>
      <c r="I246" s="24" t="str">
        <f aca="false">IF(H246&gt;=TotalStations,"Terminé",INDEX($A$10:$A$25,MATCH(SUMPRODUCT(($A$10:$A$25&lt;&gt;"")*($D$10:$D$25&lt;=H246))+1,$E$10:$E$25,0)))</f>
        <v>Terminé</v>
      </c>
      <c r="J246" s="24" t="str">
        <f aca="false">IF(H246&gt;=TotalStations,"",INDEX($C$10:$C$25,MATCH(SUMPRODUCT(($A$10:$A$25&lt;&gt;"")*($D$10:$D$25&lt;=H246))+1,$E$10:$E$25,0)))</f>
        <v/>
      </c>
      <c r="K246" s="24" t="n">
        <f aca="false">IF(H246&gt;=TotalStations,0,IF(B246="Dédié",MIN(FLOOR(420/J246,1),(TotalStations-H246)),MIN(2,(TotalStations-H246))))</f>
        <v>0</v>
      </c>
      <c r="L246" s="24" t="n">
        <f aca="false">H246+K246</f>
        <v>199</v>
      </c>
      <c r="M246" s="24" t="n">
        <f aca="false">Q245</f>
        <v>199</v>
      </c>
      <c r="N246" s="24" t="str">
        <f aca="false">IF(M246&gt;=TotalStations,"Terminé",INDEX($A$10:$A$25,MATCH(SUMPRODUCT(($A$10:$A$25&lt;&gt;"")*($D$10:$D$25&lt;=M246))+1,$E$10:$E$25,0)))</f>
        <v>Terminé</v>
      </c>
      <c r="O246" s="24" t="str">
        <f aca="false">IF(M246&gt;=TotalStations,"",INDEX($C$10:$C$25,MATCH(SUMPRODUCT(($A$10:$A$25&lt;&gt;"")*($D$10:$D$25&lt;=M246))+1,$E$10:$E$25,0)))</f>
        <v/>
      </c>
      <c r="P246" s="24" t="n">
        <f aca="false">IF(M246&gt;=TotalStations,0,MIN(FLOOR(420/O246,1),(TotalStations-M246)))</f>
        <v>0</v>
      </c>
      <c r="Q246" s="24" t="n">
        <f aca="false">M246+P246</f>
        <v>199</v>
      </c>
    </row>
    <row r="247" customFormat="false" ht="15" hidden="false" customHeight="true" outlineLevel="0" collapsed="false">
      <c r="A247" s="37" t="n">
        <f aca="false">WORKDAY(A246,1)</f>
        <v>46518</v>
      </c>
      <c r="B247" s="24" t="str">
        <f aca="false">IF(COUNTIF($B$5:$F$5,A247)&gt;0,"Dédié","Normal")</f>
        <v>Normal</v>
      </c>
      <c r="C247" s="24" t="n">
        <f aca="false">G246</f>
        <v>183</v>
      </c>
      <c r="D247" s="24" t="str">
        <f aca="false">IF(C247&gt;=TotalStations,"Terminé",INDEX($A$10:$A$25,MATCH(SUMPRODUCT(($A$10:$A$25&lt;&gt;"")*($D$10:$D$25&lt;=C247))+1,$E$10:$E$25,0)))</f>
        <v>XLI4 Receive 2</v>
      </c>
      <c r="E247" s="24" t="n">
        <f aca="false">IF(C247&gt;=TotalStations,"",INDEX($C$10:$C$25,MATCH(SUMPRODUCT(($A$10:$A$25&lt;&gt;"")*($D$10:$D$25&lt;=C247))+1,$E$10:$E$25,0)))</f>
        <v>30</v>
      </c>
      <c r="F247" s="24" t="n">
        <f aca="false">IF(C247&gt;=TotalStations,0,IF(B247="Dédié",MIN(FLOOR(420/E247,1),(TotalStations-C247)),MIN(1,(TotalStations-C247))))</f>
        <v>1</v>
      </c>
      <c r="G247" s="24" t="n">
        <f aca="false">C247+F247</f>
        <v>184</v>
      </c>
      <c r="H247" s="24" t="n">
        <f aca="false">L246</f>
        <v>199</v>
      </c>
      <c r="I247" s="24" t="str">
        <f aca="false">IF(H247&gt;=TotalStations,"Terminé",INDEX($A$10:$A$25,MATCH(SUMPRODUCT(($A$10:$A$25&lt;&gt;"")*($D$10:$D$25&lt;=H247))+1,$E$10:$E$25,0)))</f>
        <v>Terminé</v>
      </c>
      <c r="J247" s="24" t="str">
        <f aca="false">IF(H247&gt;=TotalStations,"",INDEX($C$10:$C$25,MATCH(SUMPRODUCT(($A$10:$A$25&lt;&gt;"")*($D$10:$D$25&lt;=H247))+1,$E$10:$E$25,0)))</f>
        <v/>
      </c>
      <c r="K247" s="24" t="n">
        <f aca="false">IF(H247&gt;=TotalStations,0,IF(B247="Dédié",MIN(FLOOR(420/J247,1),(TotalStations-H247)),MIN(2,(TotalStations-H247))))</f>
        <v>0</v>
      </c>
      <c r="L247" s="24" t="n">
        <f aca="false">H247+K247</f>
        <v>199</v>
      </c>
      <c r="M247" s="24" t="n">
        <f aca="false">Q246</f>
        <v>199</v>
      </c>
      <c r="N247" s="24" t="str">
        <f aca="false">IF(M247&gt;=TotalStations,"Terminé",INDEX($A$10:$A$25,MATCH(SUMPRODUCT(($A$10:$A$25&lt;&gt;"")*($D$10:$D$25&lt;=M247))+1,$E$10:$E$25,0)))</f>
        <v>Terminé</v>
      </c>
      <c r="O247" s="24" t="str">
        <f aca="false">IF(M247&gt;=TotalStations,"",INDEX($C$10:$C$25,MATCH(SUMPRODUCT(($A$10:$A$25&lt;&gt;"")*($D$10:$D$25&lt;=M247))+1,$E$10:$E$25,0)))</f>
        <v/>
      </c>
      <c r="P247" s="24" t="n">
        <f aca="false">IF(M247&gt;=TotalStations,0,MIN(FLOOR(420/O247,1),(TotalStations-M247)))</f>
        <v>0</v>
      </c>
      <c r="Q247" s="24" t="n">
        <f aca="false">M247+P247</f>
        <v>199</v>
      </c>
    </row>
    <row r="248" customFormat="false" ht="15" hidden="false" customHeight="true" outlineLevel="0" collapsed="false">
      <c r="A248" s="37" t="n">
        <f aca="false">WORKDAY(A247,1)</f>
        <v>46519</v>
      </c>
      <c r="B248" s="24" t="str">
        <f aca="false">IF(COUNTIF($B$5:$F$5,A248)&gt;0,"Dédié","Normal")</f>
        <v>Normal</v>
      </c>
      <c r="C248" s="24" t="n">
        <f aca="false">G247</f>
        <v>184</v>
      </c>
      <c r="D248" s="24" t="str">
        <f aca="false">IF(C248&gt;=TotalStations,"Terminé",INDEX($A$10:$A$25,MATCH(SUMPRODUCT(($A$10:$A$25&lt;&gt;"")*($D$10:$D$25&lt;=C248))+1,$E$10:$E$25,0)))</f>
        <v>XLI4 Receive 2</v>
      </c>
      <c r="E248" s="24" t="n">
        <f aca="false">IF(C248&gt;=TotalStations,"",INDEX($C$10:$C$25,MATCH(SUMPRODUCT(($A$10:$A$25&lt;&gt;"")*($D$10:$D$25&lt;=C248))+1,$E$10:$E$25,0)))</f>
        <v>30</v>
      </c>
      <c r="F248" s="24" t="n">
        <f aca="false">IF(C248&gt;=TotalStations,0,IF(B248="Dédié",MIN(FLOOR(420/E248,1),(TotalStations-C248)),MIN(1,(TotalStations-C248))))</f>
        <v>1</v>
      </c>
      <c r="G248" s="24" t="n">
        <f aca="false">C248+F248</f>
        <v>185</v>
      </c>
      <c r="H248" s="24" t="n">
        <f aca="false">L247</f>
        <v>199</v>
      </c>
      <c r="I248" s="24" t="str">
        <f aca="false">IF(H248&gt;=TotalStations,"Terminé",INDEX($A$10:$A$25,MATCH(SUMPRODUCT(($A$10:$A$25&lt;&gt;"")*($D$10:$D$25&lt;=H248))+1,$E$10:$E$25,0)))</f>
        <v>Terminé</v>
      </c>
      <c r="J248" s="24" t="str">
        <f aca="false">IF(H248&gt;=TotalStations,"",INDEX($C$10:$C$25,MATCH(SUMPRODUCT(($A$10:$A$25&lt;&gt;"")*($D$10:$D$25&lt;=H248))+1,$E$10:$E$25,0)))</f>
        <v/>
      </c>
      <c r="K248" s="24" t="n">
        <f aca="false">IF(H248&gt;=TotalStations,0,IF(B248="Dédié",MIN(FLOOR(420/J248,1),(TotalStations-H248)),MIN(2,(TotalStations-H248))))</f>
        <v>0</v>
      </c>
      <c r="L248" s="24" t="n">
        <f aca="false">H248+K248</f>
        <v>199</v>
      </c>
      <c r="M248" s="24" t="n">
        <f aca="false">Q247</f>
        <v>199</v>
      </c>
      <c r="N248" s="24" t="str">
        <f aca="false">IF(M248&gt;=TotalStations,"Terminé",INDEX($A$10:$A$25,MATCH(SUMPRODUCT(($A$10:$A$25&lt;&gt;"")*($D$10:$D$25&lt;=M248))+1,$E$10:$E$25,0)))</f>
        <v>Terminé</v>
      </c>
      <c r="O248" s="24" t="str">
        <f aca="false">IF(M248&gt;=TotalStations,"",INDEX($C$10:$C$25,MATCH(SUMPRODUCT(($A$10:$A$25&lt;&gt;"")*($D$10:$D$25&lt;=M248))+1,$E$10:$E$25,0)))</f>
        <v/>
      </c>
      <c r="P248" s="24" t="n">
        <f aca="false">IF(M248&gt;=TotalStations,0,MIN(FLOOR(420/O248,1),(TotalStations-M248)))</f>
        <v>0</v>
      </c>
      <c r="Q248" s="24" t="n">
        <f aca="false">M248+P248</f>
        <v>199</v>
      </c>
    </row>
    <row r="249" customFormat="false" ht="15" hidden="false" customHeight="true" outlineLevel="0" collapsed="false">
      <c r="A249" s="37" t="n">
        <f aca="false">WORKDAY(A248,1)</f>
        <v>46520</v>
      </c>
      <c r="B249" s="24" t="str">
        <f aca="false">IF(COUNTIF($B$5:$F$5,A249)&gt;0,"Dédié","Normal")</f>
        <v>Normal</v>
      </c>
      <c r="C249" s="24" t="n">
        <f aca="false">G248</f>
        <v>185</v>
      </c>
      <c r="D249" s="24" t="str">
        <f aca="false">IF(C249&gt;=TotalStations,"Terminé",INDEX($A$10:$A$25,MATCH(SUMPRODUCT(($A$10:$A$25&lt;&gt;"")*($D$10:$D$25&lt;=C249))+1,$E$10:$E$25,0)))</f>
        <v>XLI4 Receive 2</v>
      </c>
      <c r="E249" s="24" t="n">
        <f aca="false">IF(C249&gt;=TotalStations,"",INDEX($C$10:$C$25,MATCH(SUMPRODUCT(($A$10:$A$25&lt;&gt;"")*($D$10:$D$25&lt;=C249))+1,$E$10:$E$25,0)))</f>
        <v>30</v>
      </c>
      <c r="F249" s="24" t="n">
        <f aca="false">IF(C249&gt;=TotalStations,0,IF(B249="Dédié",MIN(FLOOR(420/E249,1),(TotalStations-C249)),MIN(1,(TotalStations-C249))))</f>
        <v>1</v>
      </c>
      <c r="G249" s="24" t="n">
        <f aca="false">C249+F249</f>
        <v>186</v>
      </c>
      <c r="H249" s="24" t="n">
        <f aca="false">L248</f>
        <v>199</v>
      </c>
      <c r="I249" s="24" t="str">
        <f aca="false">IF(H249&gt;=TotalStations,"Terminé",INDEX($A$10:$A$25,MATCH(SUMPRODUCT(($A$10:$A$25&lt;&gt;"")*($D$10:$D$25&lt;=H249))+1,$E$10:$E$25,0)))</f>
        <v>Terminé</v>
      </c>
      <c r="J249" s="24" t="str">
        <f aca="false">IF(H249&gt;=TotalStations,"",INDEX($C$10:$C$25,MATCH(SUMPRODUCT(($A$10:$A$25&lt;&gt;"")*($D$10:$D$25&lt;=H249))+1,$E$10:$E$25,0)))</f>
        <v/>
      </c>
      <c r="K249" s="24" t="n">
        <f aca="false">IF(H249&gt;=TotalStations,0,IF(B249="Dédié",MIN(FLOOR(420/J249,1),(TotalStations-H249)),MIN(2,(TotalStations-H249))))</f>
        <v>0</v>
      </c>
      <c r="L249" s="24" t="n">
        <f aca="false">H249+K249</f>
        <v>199</v>
      </c>
      <c r="M249" s="24" t="n">
        <f aca="false">Q248</f>
        <v>199</v>
      </c>
      <c r="N249" s="24" t="str">
        <f aca="false">IF(M249&gt;=TotalStations,"Terminé",INDEX($A$10:$A$25,MATCH(SUMPRODUCT(($A$10:$A$25&lt;&gt;"")*($D$10:$D$25&lt;=M249))+1,$E$10:$E$25,0)))</f>
        <v>Terminé</v>
      </c>
      <c r="O249" s="24" t="str">
        <f aca="false">IF(M249&gt;=TotalStations,"",INDEX($C$10:$C$25,MATCH(SUMPRODUCT(($A$10:$A$25&lt;&gt;"")*($D$10:$D$25&lt;=M249))+1,$E$10:$E$25,0)))</f>
        <v/>
      </c>
      <c r="P249" s="24" t="n">
        <f aca="false">IF(M249&gt;=TotalStations,0,MIN(FLOOR(420/O249,1),(TotalStations-M249)))</f>
        <v>0</v>
      </c>
      <c r="Q249" s="24" t="n">
        <f aca="false">M249+P249</f>
        <v>199</v>
      </c>
    </row>
    <row r="250" customFormat="false" ht="15" hidden="false" customHeight="true" outlineLevel="0" collapsed="false">
      <c r="A250" s="37" t="n">
        <f aca="false">WORKDAY(A249,1)</f>
        <v>46521</v>
      </c>
      <c r="B250" s="24" t="str">
        <f aca="false">IF(COUNTIF($B$5:$F$5,A250)&gt;0,"Dédié","Normal")</f>
        <v>Normal</v>
      </c>
      <c r="C250" s="24" t="n">
        <f aca="false">G249</f>
        <v>186</v>
      </c>
      <c r="D250" s="24" t="str">
        <f aca="false">IF(C250&gt;=TotalStations,"Terminé",INDEX($A$10:$A$25,MATCH(SUMPRODUCT(($A$10:$A$25&lt;&gt;"")*($D$10:$D$25&lt;=C250))+1,$E$10:$E$25,0)))</f>
        <v>XLI4 Receive 2</v>
      </c>
      <c r="E250" s="24" t="n">
        <f aca="false">IF(C250&gt;=TotalStations,"",INDEX($C$10:$C$25,MATCH(SUMPRODUCT(($A$10:$A$25&lt;&gt;"")*($D$10:$D$25&lt;=C250))+1,$E$10:$E$25,0)))</f>
        <v>30</v>
      </c>
      <c r="F250" s="24" t="n">
        <f aca="false">IF(C250&gt;=TotalStations,0,IF(B250="Dédié",MIN(FLOOR(420/E250,1),(TotalStations-C250)),MIN(1,(TotalStations-C250))))</f>
        <v>1</v>
      </c>
      <c r="G250" s="24" t="n">
        <f aca="false">C250+F250</f>
        <v>187</v>
      </c>
      <c r="H250" s="24" t="n">
        <f aca="false">L249</f>
        <v>199</v>
      </c>
      <c r="I250" s="24" t="str">
        <f aca="false">IF(H250&gt;=TotalStations,"Terminé",INDEX($A$10:$A$25,MATCH(SUMPRODUCT(($A$10:$A$25&lt;&gt;"")*($D$10:$D$25&lt;=H250))+1,$E$10:$E$25,0)))</f>
        <v>Terminé</v>
      </c>
      <c r="J250" s="24" t="str">
        <f aca="false">IF(H250&gt;=TotalStations,"",INDEX($C$10:$C$25,MATCH(SUMPRODUCT(($A$10:$A$25&lt;&gt;"")*($D$10:$D$25&lt;=H250))+1,$E$10:$E$25,0)))</f>
        <v/>
      </c>
      <c r="K250" s="24" t="n">
        <f aca="false">IF(H250&gt;=TotalStations,0,IF(B250="Dédié",MIN(FLOOR(420/J250,1),(TotalStations-H250)),MIN(2,(TotalStations-H250))))</f>
        <v>0</v>
      </c>
      <c r="L250" s="24" t="n">
        <f aca="false">H250+K250</f>
        <v>199</v>
      </c>
      <c r="M250" s="24" t="n">
        <f aca="false">Q249</f>
        <v>199</v>
      </c>
      <c r="N250" s="24" t="str">
        <f aca="false">IF(M250&gt;=TotalStations,"Terminé",INDEX($A$10:$A$25,MATCH(SUMPRODUCT(($A$10:$A$25&lt;&gt;"")*($D$10:$D$25&lt;=M250))+1,$E$10:$E$25,0)))</f>
        <v>Terminé</v>
      </c>
      <c r="O250" s="24" t="str">
        <f aca="false">IF(M250&gt;=TotalStations,"",INDEX($C$10:$C$25,MATCH(SUMPRODUCT(($A$10:$A$25&lt;&gt;"")*($D$10:$D$25&lt;=M250))+1,$E$10:$E$25,0)))</f>
        <v/>
      </c>
      <c r="P250" s="24" t="n">
        <f aca="false">IF(M250&gt;=TotalStations,0,MIN(FLOOR(420/O250,1),(TotalStations-M250)))</f>
        <v>0</v>
      </c>
      <c r="Q250" s="24" t="n">
        <f aca="false">M250+P250</f>
        <v>199</v>
      </c>
    </row>
    <row r="251" customFormat="false" ht="15" hidden="false" customHeight="true" outlineLevel="0" collapsed="false">
      <c r="A251" s="37" t="n">
        <f aca="false">WORKDAY(A250,1)</f>
        <v>46524</v>
      </c>
      <c r="B251" s="24" t="str">
        <f aca="false">IF(COUNTIF($B$5:$F$5,A251)&gt;0,"Dédié","Normal")</f>
        <v>Normal</v>
      </c>
      <c r="C251" s="24" t="n">
        <f aca="false">G250</f>
        <v>187</v>
      </c>
      <c r="D251" s="24" t="str">
        <f aca="false">IF(C251&gt;=TotalStations,"Terminé",INDEX($A$10:$A$25,MATCH(SUMPRODUCT(($A$10:$A$25&lt;&gt;"")*($D$10:$D$25&lt;=C251))+1,$E$10:$E$25,0)))</f>
        <v>XLI4 Sort 1</v>
      </c>
      <c r="E251" s="24" t="n">
        <f aca="false">IF(C251&gt;=TotalStations,"",INDEX($C$10:$C$25,MATCH(SUMPRODUCT(($A$10:$A$25&lt;&gt;"")*($D$10:$D$25&lt;=C251))+1,$E$10:$E$25,0)))</f>
        <v>30</v>
      </c>
      <c r="F251" s="24" t="n">
        <f aca="false">IF(C251&gt;=TotalStations,0,IF(B251="Dédié",MIN(FLOOR(420/E251,1),(TotalStations-C251)),MIN(1,(TotalStations-C251))))</f>
        <v>1</v>
      </c>
      <c r="G251" s="24" t="n">
        <f aca="false">C251+F251</f>
        <v>188</v>
      </c>
      <c r="H251" s="24" t="n">
        <f aca="false">L250</f>
        <v>199</v>
      </c>
      <c r="I251" s="24" t="str">
        <f aca="false">IF(H251&gt;=TotalStations,"Terminé",INDEX($A$10:$A$25,MATCH(SUMPRODUCT(($A$10:$A$25&lt;&gt;"")*($D$10:$D$25&lt;=H251))+1,$E$10:$E$25,0)))</f>
        <v>Terminé</v>
      </c>
      <c r="J251" s="24" t="str">
        <f aca="false">IF(H251&gt;=TotalStations,"",INDEX($C$10:$C$25,MATCH(SUMPRODUCT(($A$10:$A$25&lt;&gt;"")*($D$10:$D$25&lt;=H251))+1,$E$10:$E$25,0)))</f>
        <v/>
      </c>
      <c r="K251" s="24" t="n">
        <f aca="false">IF(H251&gt;=TotalStations,0,IF(B251="Dédié",MIN(FLOOR(420/J251,1),(TotalStations-H251)),MIN(2,(TotalStations-H251))))</f>
        <v>0</v>
      </c>
      <c r="L251" s="24" t="n">
        <f aca="false">H251+K251</f>
        <v>199</v>
      </c>
      <c r="M251" s="24" t="n">
        <f aca="false">Q250</f>
        <v>199</v>
      </c>
      <c r="N251" s="24" t="str">
        <f aca="false">IF(M251&gt;=TotalStations,"Terminé",INDEX($A$10:$A$25,MATCH(SUMPRODUCT(($A$10:$A$25&lt;&gt;"")*($D$10:$D$25&lt;=M251))+1,$E$10:$E$25,0)))</f>
        <v>Terminé</v>
      </c>
      <c r="O251" s="24" t="str">
        <f aca="false">IF(M251&gt;=TotalStations,"",INDEX($C$10:$C$25,MATCH(SUMPRODUCT(($A$10:$A$25&lt;&gt;"")*($D$10:$D$25&lt;=M251))+1,$E$10:$E$25,0)))</f>
        <v/>
      </c>
      <c r="P251" s="24" t="n">
        <f aca="false">IF(M251&gt;=TotalStations,0,MIN(FLOOR(420/O251,1),(TotalStations-M251)))</f>
        <v>0</v>
      </c>
      <c r="Q251" s="24" t="n">
        <f aca="false">M251+P251</f>
        <v>199</v>
      </c>
    </row>
    <row r="252" customFormat="false" ht="15" hidden="false" customHeight="true" outlineLevel="0" collapsed="false">
      <c r="A252" s="37" t="n">
        <f aca="false">WORKDAY(A251,1)</f>
        <v>46525</v>
      </c>
      <c r="B252" s="24" t="str">
        <f aca="false">IF(COUNTIF($B$5:$F$5,A252)&gt;0,"Dédié","Normal")</f>
        <v>Normal</v>
      </c>
      <c r="C252" s="24" t="n">
        <f aca="false">G251</f>
        <v>188</v>
      </c>
      <c r="D252" s="24" t="str">
        <f aca="false">IF(C252&gt;=TotalStations,"Terminé",INDEX($A$10:$A$25,MATCH(SUMPRODUCT(($A$10:$A$25&lt;&gt;"")*($D$10:$D$25&lt;=C252))+1,$E$10:$E$25,0)))</f>
        <v>XLI4 Sort 1</v>
      </c>
      <c r="E252" s="24" t="n">
        <f aca="false">IF(C252&gt;=TotalStations,"",INDEX($C$10:$C$25,MATCH(SUMPRODUCT(($A$10:$A$25&lt;&gt;"")*($D$10:$D$25&lt;=C252))+1,$E$10:$E$25,0)))</f>
        <v>30</v>
      </c>
      <c r="F252" s="24" t="n">
        <f aca="false">IF(C252&gt;=TotalStations,0,IF(B252="Dédié",MIN(FLOOR(420/E252,1),(TotalStations-C252)),MIN(1,(TotalStations-C252))))</f>
        <v>1</v>
      </c>
      <c r="G252" s="24" t="n">
        <f aca="false">C252+F252</f>
        <v>189</v>
      </c>
      <c r="H252" s="24" t="n">
        <f aca="false">L251</f>
        <v>199</v>
      </c>
      <c r="I252" s="24" t="str">
        <f aca="false">IF(H252&gt;=TotalStations,"Terminé",INDEX($A$10:$A$25,MATCH(SUMPRODUCT(($A$10:$A$25&lt;&gt;"")*($D$10:$D$25&lt;=H252))+1,$E$10:$E$25,0)))</f>
        <v>Terminé</v>
      </c>
      <c r="J252" s="24" t="str">
        <f aca="false">IF(H252&gt;=TotalStations,"",INDEX($C$10:$C$25,MATCH(SUMPRODUCT(($A$10:$A$25&lt;&gt;"")*($D$10:$D$25&lt;=H252))+1,$E$10:$E$25,0)))</f>
        <v/>
      </c>
      <c r="K252" s="24" t="n">
        <f aca="false">IF(H252&gt;=TotalStations,0,IF(B252="Dédié",MIN(FLOOR(420/J252,1),(TotalStations-H252)),MIN(2,(TotalStations-H252))))</f>
        <v>0</v>
      </c>
      <c r="L252" s="24" t="n">
        <f aca="false">H252+K252</f>
        <v>199</v>
      </c>
      <c r="M252" s="24" t="n">
        <f aca="false">Q251</f>
        <v>199</v>
      </c>
      <c r="N252" s="24" t="str">
        <f aca="false">IF(M252&gt;=TotalStations,"Terminé",INDEX($A$10:$A$25,MATCH(SUMPRODUCT(($A$10:$A$25&lt;&gt;"")*($D$10:$D$25&lt;=M252))+1,$E$10:$E$25,0)))</f>
        <v>Terminé</v>
      </c>
      <c r="O252" s="24" t="str">
        <f aca="false">IF(M252&gt;=TotalStations,"",INDEX($C$10:$C$25,MATCH(SUMPRODUCT(($A$10:$A$25&lt;&gt;"")*($D$10:$D$25&lt;=M252))+1,$E$10:$E$25,0)))</f>
        <v/>
      </c>
      <c r="P252" s="24" t="n">
        <f aca="false">IF(M252&gt;=TotalStations,0,MIN(FLOOR(420/O252,1),(TotalStations-M252)))</f>
        <v>0</v>
      </c>
      <c r="Q252" s="24" t="n">
        <f aca="false">M252+P252</f>
        <v>199</v>
      </c>
    </row>
    <row r="253" customFormat="false" ht="15" hidden="false" customHeight="true" outlineLevel="0" collapsed="false">
      <c r="A253" s="37" t="n">
        <f aca="false">WORKDAY(A252,1)</f>
        <v>46526</v>
      </c>
      <c r="B253" s="24" t="str">
        <f aca="false">IF(COUNTIF($B$5:$F$5,A253)&gt;0,"Dédié","Normal")</f>
        <v>Normal</v>
      </c>
      <c r="C253" s="24" t="n">
        <f aca="false">G252</f>
        <v>189</v>
      </c>
      <c r="D253" s="24" t="str">
        <f aca="false">IF(C253&gt;=TotalStations,"Terminé",INDEX($A$10:$A$25,MATCH(SUMPRODUCT(($A$10:$A$25&lt;&gt;"")*($D$10:$D$25&lt;=C253))+1,$E$10:$E$25,0)))</f>
        <v>XLI4 Sort 1</v>
      </c>
      <c r="E253" s="24" t="n">
        <f aca="false">IF(C253&gt;=TotalStations,"",INDEX($C$10:$C$25,MATCH(SUMPRODUCT(($A$10:$A$25&lt;&gt;"")*($D$10:$D$25&lt;=C253))+1,$E$10:$E$25,0)))</f>
        <v>30</v>
      </c>
      <c r="F253" s="24" t="n">
        <f aca="false">IF(C253&gt;=TotalStations,0,IF(B253="Dédié",MIN(FLOOR(420/E253,1),(TotalStations-C253)),MIN(1,(TotalStations-C253))))</f>
        <v>1</v>
      </c>
      <c r="G253" s="24" t="n">
        <f aca="false">C253+F253</f>
        <v>190</v>
      </c>
      <c r="H253" s="24" t="n">
        <f aca="false">L252</f>
        <v>199</v>
      </c>
      <c r="I253" s="24" t="str">
        <f aca="false">IF(H253&gt;=TotalStations,"Terminé",INDEX($A$10:$A$25,MATCH(SUMPRODUCT(($A$10:$A$25&lt;&gt;"")*($D$10:$D$25&lt;=H253))+1,$E$10:$E$25,0)))</f>
        <v>Terminé</v>
      </c>
      <c r="J253" s="24" t="str">
        <f aca="false">IF(H253&gt;=TotalStations,"",INDEX($C$10:$C$25,MATCH(SUMPRODUCT(($A$10:$A$25&lt;&gt;"")*($D$10:$D$25&lt;=H253))+1,$E$10:$E$25,0)))</f>
        <v/>
      </c>
      <c r="K253" s="24" t="n">
        <f aca="false">IF(H253&gt;=TotalStations,0,IF(B253="Dédié",MIN(FLOOR(420/J253,1),(TotalStations-H253)),MIN(2,(TotalStations-H253))))</f>
        <v>0</v>
      </c>
      <c r="L253" s="24" t="n">
        <f aca="false">H253+K253</f>
        <v>199</v>
      </c>
      <c r="M253" s="24" t="n">
        <f aca="false">Q252</f>
        <v>199</v>
      </c>
      <c r="N253" s="24" t="str">
        <f aca="false">IF(M253&gt;=TotalStations,"Terminé",INDEX($A$10:$A$25,MATCH(SUMPRODUCT(($A$10:$A$25&lt;&gt;"")*($D$10:$D$25&lt;=M253))+1,$E$10:$E$25,0)))</f>
        <v>Terminé</v>
      </c>
      <c r="O253" s="24" t="str">
        <f aca="false">IF(M253&gt;=TotalStations,"",INDEX($C$10:$C$25,MATCH(SUMPRODUCT(($A$10:$A$25&lt;&gt;"")*($D$10:$D$25&lt;=M253))+1,$E$10:$E$25,0)))</f>
        <v/>
      </c>
      <c r="P253" s="24" t="n">
        <f aca="false">IF(M253&gt;=TotalStations,0,MIN(FLOOR(420/O253,1),(TotalStations-M253)))</f>
        <v>0</v>
      </c>
      <c r="Q253" s="24" t="n">
        <f aca="false">M253+P253</f>
        <v>199</v>
      </c>
    </row>
    <row r="254" customFormat="false" ht="15" hidden="false" customHeight="true" outlineLevel="0" collapsed="false">
      <c r="A254" s="37" t="n">
        <f aca="false">WORKDAY(A253,1)</f>
        <v>46527</v>
      </c>
      <c r="B254" s="24" t="str">
        <f aca="false">IF(COUNTIF($B$5:$F$5,A254)&gt;0,"Dédié","Normal")</f>
        <v>Normal</v>
      </c>
      <c r="C254" s="24" t="n">
        <f aca="false">G253</f>
        <v>190</v>
      </c>
      <c r="D254" s="24" t="str">
        <f aca="false">IF(C254&gt;=TotalStations,"Terminé",INDEX($A$10:$A$25,MATCH(SUMPRODUCT(($A$10:$A$25&lt;&gt;"")*($D$10:$D$25&lt;=C254))+1,$E$10:$E$25,0)))</f>
        <v>XLI4 Sort 1</v>
      </c>
      <c r="E254" s="24" t="n">
        <f aca="false">IF(C254&gt;=TotalStations,"",INDEX($C$10:$C$25,MATCH(SUMPRODUCT(($A$10:$A$25&lt;&gt;"")*($D$10:$D$25&lt;=C254))+1,$E$10:$E$25,0)))</f>
        <v>30</v>
      </c>
      <c r="F254" s="24" t="n">
        <f aca="false">IF(C254&gt;=TotalStations,0,IF(B254="Dédié",MIN(FLOOR(420/E254,1),(TotalStations-C254)),MIN(1,(TotalStations-C254))))</f>
        <v>1</v>
      </c>
      <c r="G254" s="24" t="n">
        <f aca="false">C254+F254</f>
        <v>191</v>
      </c>
      <c r="H254" s="24" t="n">
        <f aca="false">L253</f>
        <v>199</v>
      </c>
      <c r="I254" s="24" t="str">
        <f aca="false">IF(H254&gt;=TotalStations,"Terminé",INDEX($A$10:$A$25,MATCH(SUMPRODUCT(($A$10:$A$25&lt;&gt;"")*($D$10:$D$25&lt;=H254))+1,$E$10:$E$25,0)))</f>
        <v>Terminé</v>
      </c>
      <c r="J254" s="24" t="str">
        <f aca="false">IF(H254&gt;=TotalStations,"",INDEX($C$10:$C$25,MATCH(SUMPRODUCT(($A$10:$A$25&lt;&gt;"")*($D$10:$D$25&lt;=H254))+1,$E$10:$E$25,0)))</f>
        <v/>
      </c>
      <c r="K254" s="24" t="n">
        <f aca="false">IF(H254&gt;=TotalStations,0,IF(B254="Dédié",MIN(FLOOR(420/J254,1),(TotalStations-H254)),MIN(2,(TotalStations-H254))))</f>
        <v>0</v>
      </c>
      <c r="L254" s="24" t="n">
        <f aca="false">H254+K254</f>
        <v>199</v>
      </c>
      <c r="M254" s="24" t="n">
        <f aca="false">Q253</f>
        <v>199</v>
      </c>
      <c r="N254" s="24" t="str">
        <f aca="false">IF(M254&gt;=TotalStations,"Terminé",INDEX($A$10:$A$25,MATCH(SUMPRODUCT(($A$10:$A$25&lt;&gt;"")*($D$10:$D$25&lt;=M254))+1,$E$10:$E$25,0)))</f>
        <v>Terminé</v>
      </c>
      <c r="O254" s="24" t="str">
        <f aca="false">IF(M254&gt;=TotalStations,"",INDEX($C$10:$C$25,MATCH(SUMPRODUCT(($A$10:$A$25&lt;&gt;"")*($D$10:$D$25&lt;=M254))+1,$E$10:$E$25,0)))</f>
        <v/>
      </c>
      <c r="P254" s="24" t="n">
        <f aca="false">IF(M254&gt;=TotalStations,0,MIN(FLOOR(420/O254,1),(TotalStations-M254)))</f>
        <v>0</v>
      </c>
      <c r="Q254" s="24" t="n">
        <f aca="false">M254+P254</f>
        <v>199</v>
      </c>
    </row>
    <row r="255" customFormat="false" ht="15" hidden="false" customHeight="true" outlineLevel="0" collapsed="false">
      <c r="A255" s="37" t="n">
        <f aca="false">WORKDAY(A254,1)</f>
        <v>46528</v>
      </c>
      <c r="B255" s="24" t="str">
        <f aca="false">IF(COUNTIF($B$5:$F$5,A255)&gt;0,"Dédié","Normal")</f>
        <v>Normal</v>
      </c>
      <c r="C255" s="24" t="n">
        <f aca="false">G254</f>
        <v>191</v>
      </c>
      <c r="D255" s="24" t="str">
        <f aca="false">IF(C255&gt;=TotalStations,"Terminé",INDEX($A$10:$A$25,MATCH(SUMPRODUCT(($A$10:$A$25&lt;&gt;"")*($D$10:$D$25&lt;=C255))+1,$E$10:$E$25,0)))</f>
        <v>XLI4 Sort 1</v>
      </c>
      <c r="E255" s="24" t="n">
        <f aca="false">IF(C255&gt;=TotalStations,"",INDEX($C$10:$C$25,MATCH(SUMPRODUCT(($A$10:$A$25&lt;&gt;"")*($D$10:$D$25&lt;=C255))+1,$E$10:$E$25,0)))</f>
        <v>30</v>
      </c>
      <c r="F255" s="24" t="n">
        <f aca="false">IF(C255&gt;=TotalStations,0,IF(B255="Dédié",MIN(FLOOR(420/E255,1),(TotalStations-C255)),MIN(1,(TotalStations-C255))))</f>
        <v>1</v>
      </c>
      <c r="G255" s="24" t="n">
        <f aca="false">C255+F255</f>
        <v>192</v>
      </c>
      <c r="H255" s="24" t="n">
        <f aca="false">L254</f>
        <v>199</v>
      </c>
      <c r="I255" s="24" t="str">
        <f aca="false">IF(H255&gt;=TotalStations,"Terminé",INDEX($A$10:$A$25,MATCH(SUMPRODUCT(($A$10:$A$25&lt;&gt;"")*($D$10:$D$25&lt;=H255))+1,$E$10:$E$25,0)))</f>
        <v>Terminé</v>
      </c>
      <c r="J255" s="24" t="str">
        <f aca="false">IF(H255&gt;=TotalStations,"",INDEX($C$10:$C$25,MATCH(SUMPRODUCT(($A$10:$A$25&lt;&gt;"")*($D$10:$D$25&lt;=H255))+1,$E$10:$E$25,0)))</f>
        <v/>
      </c>
      <c r="K255" s="24" t="n">
        <f aca="false">IF(H255&gt;=TotalStations,0,IF(B255="Dédié",MIN(FLOOR(420/J255,1),(TotalStations-H255)),MIN(2,(TotalStations-H255))))</f>
        <v>0</v>
      </c>
      <c r="L255" s="24" t="n">
        <f aca="false">H255+K255</f>
        <v>199</v>
      </c>
      <c r="M255" s="24" t="n">
        <f aca="false">Q254</f>
        <v>199</v>
      </c>
      <c r="N255" s="24" t="str">
        <f aca="false">IF(M255&gt;=TotalStations,"Terminé",INDEX($A$10:$A$25,MATCH(SUMPRODUCT(($A$10:$A$25&lt;&gt;"")*($D$10:$D$25&lt;=M255))+1,$E$10:$E$25,0)))</f>
        <v>Terminé</v>
      </c>
      <c r="O255" s="24" t="str">
        <f aca="false">IF(M255&gt;=TotalStations,"",INDEX($C$10:$C$25,MATCH(SUMPRODUCT(($A$10:$A$25&lt;&gt;"")*($D$10:$D$25&lt;=M255))+1,$E$10:$E$25,0)))</f>
        <v/>
      </c>
      <c r="P255" s="24" t="n">
        <f aca="false">IF(M255&gt;=TotalStations,0,MIN(FLOOR(420/O255,1),(TotalStations-M255)))</f>
        <v>0</v>
      </c>
      <c r="Q255" s="24" t="n">
        <f aca="false">M255+P255</f>
        <v>199</v>
      </c>
    </row>
    <row r="256" customFormat="false" ht="15" hidden="false" customHeight="true" outlineLevel="0" collapsed="false">
      <c r="A256" s="37" t="n">
        <f aca="false">WORKDAY(A255,1)</f>
        <v>46531</v>
      </c>
      <c r="B256" s="24" t="str">
        <f aca="false">IF(COUNTIF($B$5:$F$5,A256)&gt;0,"Dédié","Normal")</f>
        <v>Normal</v>
      </c>
      <c r="C256" s="24" t="n">
        <f aca="false">G255</f>
        <v>192</v>
      </c>
      <c r="D256" s="24" t="str">
        <f aca="false">IF(C256&gt;=TotalStations,"Terminé",INDEX($A$10:$A$25,MATCH(SUMPRODUCT(($A$10:$A$25&lt;&gt;"")*($D$10:$D$25&lt;=C256))+1,$E$10:$E$25,0)))</f>
        <v>XLI4 Sort 1</v>
      </c>
      <c r="E256" s="24" t="n">
        <f aca="false">IF(C256&gt;=TotalStations,"",INDEX($C$10:$C$25,MATCH(SUMPRODUCT(($A$10:$A$25&lt;&gt;"")*($D$10:$D$25&lt;=C256))+1,$E$10:$E$25,0)))</f>
        <v>30</v>
      </c>
      <c r="F256" s="24" t="n">
        <f aca="false">IF(C256&gt;=TotalStations,0,IF(B256="Dédié",MIN(FLOOR(420/E256,1),(TotalStations-C256)),MIN(1,(TotalStations-C256))))</f>
        <v>1</v>
      </c>
      <c r="G256" s="24" t="n">
        <f aca="false">C256+F256</f>
        <v>193</v>
      </c>
      <c r="H256" s="24" t="n">
        <f aca="false">L255</f>
        <v>199</v>
      </c>
      <c r="I256" s="24" t="str">
        <f aca="false">IF(H256&gt;=TotalStations,"Terminé",INDEX($A$10:$A$25,MATCH(SUMPRODUCT(($A$10:$A$25&lt;&gt;"")*($D$10:$D$25&lt;=H256))+1,$E$10:$E$25,0)))</f>
        <v>Terminé</v>
      </c>
      <c r="J256" s="24" t="str">
        <f aca="false">IF(H256&gt;=TotalStations,"",INDEX($C$10:$C$25,MATCH(SUMPRODUCT(($A$10:$A$25&lt;&gt;"")*($D$10:$D$25&lt;=H256))+1,$E$10:$E$25,0)))</f>
        <v/>
      </c>
      <c r="K256" s="24" t="n">
        <f aca="false">IF(H256&gt;=TotalStations,0,IF(B256="Dédié",MIN(FLOOR(420/J256,1),(TotalStations-H256)),MIN(2,(TotalStations-H256))))</f>
        <v>0</v>
      </c>
      <c r="L256" s="24" t="n">
        <f aca="false">H256+K256</f>
        <v>199</v>
      </c>
      <c r="M256" s="24" t="n">
        <f aca="false">Q255</f>
        <v>199</v>
      </c>
      <c r="N256" s="24" t="str">
        <f aca="false">IF(M256&gt;=TotalStations,"Terminé",INDEX($A$10:$A$25,MATCH(SUMPRODUCT(($A$10:$A$25&lt;&gt;"")*($D$10:$D$25&lt;=M256))+1,$E$10:$E$25,0)))</f>
        <v>Terminé</v>
      </c>
      <c r="O256" s="24" t="str">
        <f aca="false">IF(M256&gt;=TotalStations,"",INDEX($C$10:$C$25,MATCH(SUMPRODUCT(($A$10:$A$25&lt;&gt;"")*($D$10:$D$25&lt;=M256))+1,$E$10:$E$25,0)))</f>
        <v/>
      </c>
      <c r="P256" s="24" t="n">
        <f aca="false">IF(M256&gt;=TotalStations,0,MIN(FLOOR(420/O256,1),(TotalStations-M256)))</f>
        <v>0</v>
      </c>
      <c r="Q256" s="24" t="n">
        <f aca="false">M256+P256</f>
        <v>199</v>
      </c>
    </row>
    <row r="257" customFormat="false" ht="15" hidden="false" customHeight="true" outlineLevel="0" collapsed="false">
      <c r="A257" s="37" t="n">
        <f aca="false">WORKDAY(A256,1)</f>
        <v>46532</v>
      </c>
      <c r="B257" s="24" t="str">
        <f aca="false">IF(COUNTIF($B$5:$F$5,A257)&gt;0,"Dédié","Normal")</f>
        <v>Normal</v>
      </c>
      <c r="C257" s="24" t="n">
        <f aca="false">G256</f>
        <v>193</v>
      </c>
      <c r="D257" s="24" t="str">
        <f aca="false">IF(C257&gt;=TotalStations,"Terminé",INDEX($A$10:$A$25,MATCH(SUMPRODUCT(($A$10:$A$25&lt;&gt;"")*($D$10:$D$25&lt;=C257))+1,$E$10:$E$25,0)))</f>
        <v>XLI4 Sort 2</v>
      </c>
      <c r="E257" s="24" t="n">
        <f aca="false">IF(C257&gt;=TotalStations,"",INDEX($C$10:$C$25,MATCH(SUMPRODUCT(($A$10:$A$25&lt;&gt;"")*($D$10:$D$25&lt;=C257))+1,$E$10:$E$25,0)))</f>
        <v>30</v>
      </c>
      <c r="F257" s="24" t="n">
        <f aca="false">IF(C257&gt;=TotalStations,0,IF(B257="Dédié",MIN(FLOOR(420/E257,1),(TotalStations-C257)),MIN(1,(TotalStations-C257))))</f>
        <v>1</v>
      </c>
      <c r="G257" s="24" t="n">
        <f aca="false">C257+F257</f>
        <v>194</v>
      </c>
      <c r="H257" s="24" t="n">
        <f aca="false">L256</f>
        <v>199</v>
      </c>
      <c r="I257" s="24" t="str">
        <f aca="false">IF(H257&gt;=TotalStations,"Terminé",INDEX($A$10:$A$25,MATCH(SUMPRODUCT(($A$10:$A$25&lt;&gt;"")*($D$10:$D$25&lt;=H257))+1,$E$10:$E$25,0)))</f>
        <v>Terminé</v>
      </c>
      <c r="J257" s="24" t="str">
        <f aca="false">IF(H257&gt;=TotalStations,"",INDEX($C$10:$C$25,MATCH(SUMPRODUCT(($A$10:$A$25&lt;&gt;"")*($D$10:$D$25&lt;=H257))+1,$E$10:$E$25,0)))</f>
        <v/>
      </c>
      <c r="K257" s="24" t="n">
        <f aca="false">IF(H257&gt;=TotalStations,0,IF(B257="Dédié",MIN(FLOOR(420/J257,1),(TotalStations-H257)),MIN(2,(TotalStations-H257))))</f>
        <v>0</v>
      </c>
      <c r="L257" s="24" t="n">
        <f aca="false">H257+K257</f>
        <v>199</v>
      </c>
      <c r="M257" s="24" t="n">
        <f aca="false">Q256</f>
        <v>199</v>
      </c>
      <c r="N257" s="24" t="str">
        <f aca="false">IF(M257&gt;=TotalStations,"Terminé",INDEX($A$10:$A$25,MATCH(SUMPRODUCT(($A$10:$A$25&lt;&gt;"")*($D$10:$D$25&lt;=M257))+1,$E$10:$E$25,0)))</f>
        <v>Terminé</v>
      </c>
      <c r="O257" s="24" t="str">
        <f aca="false">IF(M257&gt;=TotalStations,"",INDEX($C$10:$C$25,MATCH(SUMPRODUCT(($A$10:$A$25&lt;&gt;"")*($D$10:$D$25&lt;=M257))+1,$E$10:$E$25,0)))</f>
        <v/>
      </c>
      <c r="P257" s="24" t="n">
        <f aca="false">IF(M257&gt;=TotalStations,0,MIN(FLOOR(420/O257,1),(TotalStations-M257)))</f>
        <v>0</v>
      </c>
      <c r="Q257" s="24" t="n">
        <f aca="false">M257+P257</f>
        <v>199</v>
      </c>
    </row>
    <row r="258" customFormat="false" ht="15" hidden="false" customHeight="true" outlineLevel="0" collapsed="false">
      <c r="A258" s="37" t="n">
        <f aca="false">WORKDAY(A257,1)</f>
        <v>46533</v>
      </c>
      <c r="B258" s="24" t="str">
        <f aca="false">IF(COUNTIF($B$5:$F$5,A258)&gt;0,"Dédié","Normal")</f>
        <v>Normal</v>
      </c>
      <c r="C258" s="24" t="n">
        <f aca="false">G257</f>
        <v>194</v>
      </c>
      <c r="D258" s="24" t="str">
        <f aca="false">IF(C258&gt;=TotalStations,"Terminé",INDEX($A$10:$A$25,MATCH(SUMPRODUCT(($A$10:$A$25&lt;&gt;"")*($D$10:$D$25&lt;=C258))+1,$E$10:$E$25,0)))</f>
        <v>XLI4 Sort 2</v>
      </c>
      <c r="E258" s="24" t="n">
        <f aca="false">IF(C258&gt;=TotalStations,"",INDEX($C$10:$C$25,MATCH(SUMPRODUCT(($A$10:$A$25&lt;&gt;"")*($D$10:$D$25&lt;=C258))+1,$E$10:$E$25,0)))</f>
        <v>30</v>
      </c>
      <c r="F258" s="24" t="n">
        <f aca="false">IF(C258&gt;=TotalStations,0,IF(B258="Dédié",MIN(FLOOR(420/E258,1),(TotalStations-C258)),MIN(1,(TotalStations-C258))))</f>
        <v>1</v>
      </c>
      <c r="G258" s="24" t="n">
        <f aca="false">C258+F258</f>
        <v>195</v>
      </c>
      <c r="H258" s="24" t="n">
        <f aca="false">L257</f>
        <v>199</v>
      </c>
      <c r="I258" s="24" t="str">
        <f aca="false">IF(H258&gt;=TotalStations,"Terminé",INDEX($A$10:$A$25,MATCH(SUMPRODUCT(($A$10:$A$25&lt;&gt;"")*($D$10:$D$25&lt;=H258))+1,$E$10:$E$25,0)))</f>
        <v>Terminé</v>
      </c>
      <c r="J258" s="24" t="str">
        <f aca="false">IF(H258&gt;=TotalStations,"",INDEX($C$10:$C$25,MATCH(SUMPRODUCT(($A$10:$A$25&lt;&gt;"")*($D$10:$D$25&lt;=H258))+1,$E$10:$E$25,0)))</f>
        <v/>
      </c>
      <c r="K258" s="24" t="n">
        <f aca="false">IF(H258&gt;=TotalStations,0,IF(B258="Dédié",MIN(FLOOR(420/J258,1),(TotalStations-H258)),MIN(2,(TotalStations-H258))))</f>
        <v>0</v>
      </c>
      <c r="L258" s="24" t="n">
        <f aca="false">H258+K258</f>
        <v>199</v>
      </c>
      <c r="M258" s="24" t="n">
        <f aca="false">Q257</f>
        <v>199</v>
      </c>
      <c r="N258" s="24" t="str">
        <f aca="false">IF(M258&gt;=TotalStations,"Terminé",INDEX($A$10:$A$25,MATCH(SUMPRODUCT(($A$10:$A$25&lt;&gt;"")*($D$10:$D$25&lt;=M258))+1,$E$10:$E$25,0)))</f>
        <v>Terminé</v>
      </c>
      <c r="O258" s="24" t="str">
        <f aca="false">IF(M258&gt;=TotalStations,"",INDEX($C$10:$C$25,MATCH(SUMPRODUCT(($A$10:$A$25&lt;&gt;"")*($D$10:$D$25&lt;=M258))+1,$E$10:$E$25,0)))</f>
        <v/>
      </c>
      <c r="P258" s="24" t="n">
        <f aca="false">IF(M258&gt;=TotalStations,0,MIN(FLOOR(420/O258,1),(TotalStations-M258)))</f>
        <v>0</v>
      </c>
      <c r="Q258" s="24" t="n">
        <f aca="false">M258+P258</f>
        <v>199</v>
      </c>
    </row>
    <row r="259" customFormat="false" ht="15" hidden="false" customHeight="true" outlineLevel="0" collapsed="false">
      <c r="A259" s="37" t="n">
        <f aca="false">WORKDAY(A258,1)</f>
        <v>46534</v>
      </c>
      <c r="B259" s="24" t="str">
        <f aca="false">IF(COUNTIF($B$5:$F$5,A259)&gt;0,"Dédié","Normal")</f>
        <v>Normal</v>
      </c>
      <c r="C259" s="24" t="n">
        <f aca="false">G258</f>
        <v>195</v>
      </c>
      <c r="D259" s="24" t="str">
        <f aca="false">IF(C259&gt;=TotalStations,"Terminé",INDEX($A$10:$A$25,MATCH(SUMPRODUCT(($A$10:$A$25&lt;&gt;"")*($D$10:$D$25&lt;=C259))+1,$E$10:$E$25,0)))</f>
        <v>XLI4 Sort 2</v>
      </c>
      <c r="E259" s="24" t="n">
        <f aca="false">IF(C259&gt;=TotalStations,"",INDEX($C$10:$C$25,MATCH(SUMPRODUCT(($A$10:$A$25&lt;&gt;"")*($D$10:$D$25&lt;=C259))+1,$E$10:$E$25,0)))</f>
        <v>30</v>
      </c>
      <c r="F259" s="24" t="n">
        <f aca="false">IF(C259&gt;=TotalStations,0,IF(B259="Dédié",MIN(FLOOR(420/E259,1),(TotalStations-C259)),MIN(1,(TotalStations-C259))))</f>
        <v>1</v>
      </c>
      <c r="G259" s="24" t="n">
        <f aca="false">C259+F259</f>
        <v>196</v>
      </c>
      <c r="H259" s="24" t="n">
        <f aca="false">L258</f>
        <v>199</v>
      </c>
      <c r="I259" s="24" t="str">
        <f aca="false">IF(H259&gt;=TotalStations,"Terminé",INDEX($A$10:$A$25,MATCH(SUMPRODUCT(($A$10:$A$25&lt;&gt;"")*($D$10:$D$25&lt;=H259))+1,$E$10:$E$25,0)))</f>
        <v>Terminé</v>
      </c>
      <c r="J259" s="24" t="str">
        <f aca="false">IF(H259&gt;=TotalStations,"",INDEX($C$10:$C$25,MATCH(SUMPRODUCT(($A$10:$A$25&lt;&gt;"")*($D$10:$D$25&lt;=H259))+1,$E$10:$E$25,0)))</f>
        <v/>
      </c>
      <c r="K259" s="24" t="n">
        <f aca="false">IF(H259&gt;=TotalStations,0,IF(B259="Dédié",MIN(FLOOR(420/J259,1),(TotalStations-H259)),MIN(2,(TotalStations-H259))))</f>
        <v>0</v>
      </c>
      <c r="L259" s="24" t="n">
        <f aca="false">H259+K259</f>
        <v>199</v>
      </c>
      <c r="M259" s="24" t="n">
        <f aca="false">Q258</f>
        <v>199</v>
      </c>
      <c r="N259" s="24" t="str">
        <f aca="false">IF(M259&gt;=TotalStations,"Terminé",INDEX($A$10:$A$25,MATCH(SUMPRODUCT(($A$10:$A$25&lt;&gt;"")*($D$10:$D$25&lt;=M259))+1,$E$10:$E$25,0)))</f>
        <v>Terminé</v>
      </c>
      <c r="O259" s="24" t="str">
        <f aca="false">IF(M259&gt;=TotalStations,"",INDEX($C$10:$C$25,MATCH(SUMPRODUCT(($A$10:$A$25&lt;&gt;"")*($D$10:$D$25&lt;=M259))+1,$E$10:$E$25,0)))</f>
        <v/>
      </c>
      <c r="P259" s="24" t="n">
        <f aca="false">IF(M259&gt;=TotalStations,0,MIN(FLOOR(420/O259,1),(TotalStations-M259)))</f>
        <v>0</v>
      </c>
      <c r="Q259" s="24" t="n">
        <f aca="false">M259+P259</f>
        <v>199</v>
      </c>
    </row>
    <row r="260" customFormat="false" ht="15" hidden="false" customHeight="true" outlineLevel="0" collapsed="false">
      <c r="A260" s="37" t="n">
        <f aca="false">WORKDAY(A259,1)</f>
        <v>46535</v>
      </c>
      <c r="B260" s="24" t="str">
        <f aca="false">IF(COUNTIF($B$5:$F$5,A260)&gt;0,"Dédié","Normal")</f>
        <v>Normal</v>
      </c>
      <c r="C260" s="24" t="n">
        <f aca="false">G259</f>
        <v>196</v>
      </c>
      <c r="D260" s="24" t="str">
        <f aca="false">IF(C260&gt;=TotalStations,"Terminé",INDEX($A$10:$A$25,MATCH(SUMPRODUCT(($A$10:$A$25&lt;&gt;"")*($D$10:$D$25&lt;=C260))+1,$E$10:$E$25,0)))</f>
        <v>XLI4 Sort 2</v>
      </c>
      <c r="E260" s="24" t="n">
        <f aca="false">IF(C260&gt;=TotalStations,"",INDEX($C$10:$C$25,MATCH(SUMPRODUCT(($A$10:$A$25&lt;&gt;"")*($D$10:$D$25&lt;=C260))+1,$E$10:$E$25,0)))</f>
        <v>30</v>
      </c>
      <c r="F260" s="24" t="n">
        <f aca="false">IF(C260&gt;=TotalStations,0,IF(B260="Dédié",MIN(FLOOR(420/E260,1),(TotalStations-C260)),MIN(1,(TotalStations-C260))))</f>
        <v>1</v>
      </c>
      <c r="G260" s="24" t="n">
        <f aca="false">C260+F260</f>
        <v>197</v>
      </c>
      <c r="H260" s="24" t="n">
        <f aca="false">L259</f>
        <v>199</v>
      </c>
      <c r="I260" s="24" t="str">
        <f aca="false">IF(H260&gt;=TotalStations,"Terminé",INDEX($A$10:$A$25,MATCH(SUMPRODUCT(($A$10:$A$25&lt;&gt;"")*($D$10:$D$25&lt;=H260))+1,$E$10:$E$25,0)))</f>
        <v>Terminé</v>
      </c>
      <c r="J260" s="24" t="str">
        <f aca="false">IF(H260&gt;=TotalStations,"",INDEX($C$10:$C$25,MATCH(SUMPRODUCT(($A$10:$A$25&lt;&gt;"")*($D$10:$D$25&lt;=H260))+1,$E$10:$E$25,0)))</f>
        <v/>
      </c>
      <c r="K260" s="24" t="n">
        <f aca="false">IF(H260&gt;=TotalStations,0,IF(B260="Dédié",MIN(FLOOR(420/J260,1),(TotalStations-H260)),MIN(2,(TotalStations-H260))))</f>
        <v>0</v>
      </c>
      <c r="L260" s="24" t="n">
        <f aca="false">H260+K260</f>
        <v>199</v>
      </c>
      <c r="M260" s="24" t="n">
        <f aca="false">Q259</f>
        <v>199</v>
      </c>
      <c r="N260" s="24" t="str">
        <f aca="false">IF(M260&gt;=TotalStations,"Terminé",INDEX($A$10:$A$25,MATCH(SUMPRODUCT(($A$10:$A$25&lt;&gt;"")*($D$10:$D$25&lt;=M260))+1,$E$10:$E$25,0)))</f>
        <v>Terminé</v>
      </c>
      <c r="O260" s="24" t="str">
        <f aca="false">IF(M260&gt;=TotalStations,"",INDEX($C$10:$C$25,MATCH(SUMPRODUCT(($A$10:$A$25&lt;&gt;"")*($D$10:$D$25&lt;=M260))+1,$E$10:$E$25,0)))</f>
        <v/>
      </c>
      <c r="P260" s="24" t="n">
        <f aca="false">IF(M260&gt;=TotalStations,0,MIN(FLOOR(420/O260,1),(TotalStations-M260)))</f>
        <v>0</v>
      </c>
      <c r="Q260" s="24" t="n">
        <f aca="false">M260+P260</f>
        <v>199</v>
      </c>
    </row>
    <row r="261" customFormat="false" ht="15" hidden="false" customHeight="true" outlineLevel="0" collapsed="false">
      <c r="A261" s="37" t="n">
        <f aca="false">WORKDAY(A260,1)</f>
        <v>46538</v>
      </c>
      <c r="B261" s="24" t="str">
        <f aca="false">IF(COUNTIF($B$5:$F$5,A261)&gt;0,"Dédié","Normal")</f>
        <v>Normal</v>
      </c>
      <c r="C261" s="24" t="n">
        <f aca="false">G260</f>
        <v>197</v>
      </c>
      <c r="D261" s="24" t="str">
        <f aca="false">IF(C261&gt;=TotalStations,"Terminé",INDEX($A$10:$A$25,MATCH(SUMPRODUCT(($A$10:$A$25&lt;&gt;"")*($D$10:$D$25&lt;=C261))+1,$E$10:$E$25,0)))</f>
        <v>XLI4 Sort 2</v>
      </c>
      <c r="E261" s="24" t="n">
        <f aca="false">IF(C261&gt;=TotalStations,"",INDEX($C$10:$C$25,MATCH(SUMPRODUCT(($A$10:$A$25&lt;&gt;"")*($D$10:$D$25&lt;=C261))+1,$E$10:$E$25,0)))</f>
        <v>30</v>
      </c>
      <c r="F261" s="24" t="n">
        <f aca="false">IF(C261&gt;=TotalStations,0,IF(B261="Dédié",MIN(FLOOR(420/E261,1),(TotalStations-C261)),MIN(1,(TotalStations-C261))))</f>
        <v>1</v>
      </c>
      <c r="G261" s="24" t="n">
        <f aca="false">C261+F261</f>
        <v>198</v>
      </c>
      <c r="H261" s="24" t="n">
        <f aca="false">L260</f>
        <v>199</v>
      </c>
      <c r="I261" s="24" t="str">
        <f aca="false">IF(H261&gt;=TotalStations,"Terminé",INDEX($A$10:$A$25,MATCH(SUMPRODUCT(($A$10:$A$25&lt;&gt;"")*($D$10:$D$25&lt;=H261))+1,$E$10:$E$25,0)))</f>
        <v>Terminé</v>
      </c>
      <c r="J261" s="24" t="str">
        <f aca="false">IF(H261&gt;=TotalStations,"",INDEX($C$10:$C$25,MATCH(SUMPRODUCT(($A$10:$A$25&lt;&gt;"")*($D$10:$D$25&lt;=H261))+1,$E$10:$E$25,0)))</f>
        <v/>
      </c>
      <c r="K261" s="24" t="n">
        <f aca="false">IF(H261&gt;=TotalStations,0,IF(B261="Dédié",MIN(FLOOR(420/J261,1),(TotalStations-H261)),MIN(2,(TotalStations-H261))))</f>
        <v>0</v>
      </c>
      <c r="L261" s="24" t="n">
        <f aca="false">H261+K261</f>
        <v>199</v>
      </c>
      <c r="M261" s="24" t="n">
        <f aca="false">Q260</f>
        <v>199</v>
      </c>
      <c r="N261" s="24" t="str">
        <f aca="false">IF(M261&gt;=TotalStations,"Terminé",INDEX($A$10:$A$25,MATCH(SUMPRODUCT(($A$10:$A$25&lt;&gt;"")*($D$10:$D$25&lt;=M261))+1,$E$10:$E$25,0)))</f>
        <v>Terminé</v>
      </c>
      <c r="O261" s="24" t="str">
        <f aca="false">IF(M261&gt;=TotalStations,"",INDEX($C$10:$C$25,MATCH(SUMPRODUCT(($A$10:$A$25&lt;&gt;"")*($D$10:$D$25&lt;=M261))+1,$E$10:$E$25,0)))</f>
        <v/>
      </c>
      <c r="P261" s="24" t="n">
        <f aca="false">IF(M261&gt;=TotalStations,0,MIN(FLOOR(420/O261,1),(TotalStations-M261)))</f>
        <v>0</v>
      </c>
      <c r="Q261" s="24" t="n">
        <f aca="false">M261+P261</f>
        <v>199</v>
      </c>
    </row>
    <row r="262" customFormat="false" ht="15" hidden="false" customHeight="true" outlineLevel="0" collapsed="false">
      <c r="A262" s="37" t="n">
        <f aca="false">WORKDAY(A261,1)</f>
        <v>46539</v>
      </c>
      <c r="B262" s="24" t="str">
        <f aca="false">IF(COUNTIF($B$5:$F$5,A262)&gt;0,"Dédié","Normal")</f>
        <v>Normal</v>
      </c>
      <c r="C262" s="24" t="n">
        <f aca="false">G261</f>
        <v>198</v>
      </c>
      <c r="D262" s="24" t="str">
        <f aca="false">IF(C262&gt;=TotalStations,"Terminé",INDEX($A$10:$A$25,MATCH(SUMPRODUCT(($A$10:$A$25&lt;&gt;"")*($D$10:$D$25&lt;=C262))+1,$E$10:$E$25,0)))</f>
        <v>XLI4 Sort 2</v>
      </c>
      <c r="E262" s="24" t="n">
        <f aca="false">IF(C262&gt;=TotalStations,"",INDEX($C$10:$C$25,MATCH(SUMPRODUCT(($A$10:$A$25&lt;&gt;"")*($D$10:$D$25&lt;=C262))+1,$E$10:$E$25,0)))</f>
        <v>30</v>
      </c>
      <c r="F262" s="24" t="n">
        <f aca="false">IF(C262&gt;=TotalStations,0,IF(B262="Dédié",MIN(FLOOR(420/E262,1),(TotalStations-C262)),MIN(1,(TotalStations-C262))))</f>
        <v>1</v>
      </c>
      <c r="G262" s="24" t="n">
        <f aca="false">C262+F262</f>
        <v>199</v>
      </c>
      <c r="H262" s="24" t="n">
        <f aca="false">L261</f>
        <v>199</v>
      </c>
      <c r="I262" s="24" t="str">
        <f aca="false">IF(H262&gt;=TotalStations,"Terminé",INDEX($A$10:$A$25,MATCH(SUMPRODUCT(($A$10:$A$25&lt;&gt;"")*($D$10:$D$25&lt;=H262))+1,$E$10:$E$25,0)))</f>
        <v>Terminé</v>
      </c>
      <c r="J262" s="24" t="str">
        <f aca="false">IF(H262&gt;=TotalStations,"",INDEX($C$10:$C$25,MATCH(SUMPRODUCT(($A$10:$A$25&lt;&gt;"")*($D$10:$D$25&lt;=H262))+1,$E$10:$E$25,0)))</f>
        <v/>
      </c>
      <c r="K262" s="24" t="n">
        <f aca="false">IF(H262&gt;=TotalStations,0,IF(B262="Dédié",MIN(FLOOR(420/J262,1),(TotalStations-H262)),MIN(2,(TotalStations-H262))))</f>
        <v>0</v>
      </c>
      <c r="L262" s="24" t="n">
        <f aca="false">H262+K262</f>
        <v>199</v>
      </c>
      <c r="M262" s="24" t="n">
        <f aca="false">Q261</f>
        <v>199</v>
      </c>
      <c r="N262" s="24" t="str">
        <f aca="false">IF(M262&gt;=TotalStations,"Terminé",INDEX($A$10:$A$25,MATCH(SUMPRODUCT(($A$10:$A$25&lt;&gt;"")*($D$10:$D$25&lt;=M262))+1,$E$10:$E$25,0)))</f>
        <v>Terminé</v>
      </c>
      <c r="O262" s="24" t="str">
        <f aca="false">IF(M262&gt;=TotalStations,"",INDEX($C$10:$C$25,MATCH(SUMPRODUCT(($A$10:$A$25&lt;&gt;"")*($D$10:$D$25&lt;=M262))+1,$E$10:$E$25,0)))</f>
        <v/>
      </c>
      <c r="P262" s="24" t="n">
        <f aca="false">IF(M262&gt;=TotalStations,0,MIN(FLOOR(420/O262,1),(TotalStations-M262)))</f>
        <v>0</v>
      </c>
      <c r="Q262" s="24" t="n">
        <f aca="false">M262+P262</f>
        <v>199</v>
      </c>
    </row>
    <row r="263" customFormat="false" ht="15" hidden="false" customHeight="true" outlineLevel="0" collapsed="false">
      <c r="A263" s="37" t="n">
        <f aca="false">WORKDAY(A262,1)</f>
        <v>46540</v>
      </c>
      <c r="B263" s="24" t="str">
        <f aca="false">IF(COUNTIF($B$5:$F$5,A263)&gt;0,"Dédié","Normal")</f>
        <v>Normal</v>
      </c>
      <c r="C263" s="24" t="n">
        <f aca="false">G262</f>
        <v>199</v>
      </c>
      <c r="D263" s="24" t="str">
        <f aca="false">IF(C263&gt;=TotalStations,"Terminé",INDEX($A$10:$A$25,MATCH(SUMPRODUCT(($A$10:$A$25&lt;&gt;"")*($D$10:$D$25&lt;=C263))+1,$E$10:$E$25,0)))</f>
        <v>Terminé</v>
      </c>
      <c r="E263" s="24" t="str">
        <f aca="false">IF(C263&gt;=TotalStations,"",INDEX($C$10:$C$25,MATCH(SUMPRODUCT(($A$10:$A$25&lt;&gt;"")*($D$10:$D$25&lt;=C263))+1,$E$10:$E$25,0)))</f>
        <v/>
      </c>
      <c r="F263" s="24" t="n">
        <f aca="false">IF(C263&gt;=TotalStations,0,IF(B263="Dédié",MIN(FLOOR(420/E263,1),(TotalStations-C263)),MIN(1,(TotalStations-C263))))</f>
        <v>0</v>
      </c>
      <c r="G263" s="24" t="n">
        <f aca="false">C263+F263</f>
        <v>199</v>
      </c>
      <c r="H263" s="24" t="n">
        <f aca="false">L262</f>
        <v>199</v>
      </c>
      <c r="I263" s="24" t="str">
        <f aca="false">IF(H263&gt;=TotalStations,"Terminé",INDEX($A$10:$A$25,MATCH(SUMPRODUCT(($A$10:$A$25&lt;&gt;"")*($D$10:$D$25&lt;=H263))+1,$E$10:$E$25,0)))</f>
        <v>Terminé</v>
      </c>
      <c r="J263" s="24" t="str">
        <f aca="false">IF(H263&gt;=TotalStations,"",INDEX($C$10:$C$25,MATCH(SUMPRODUCT(($A$10:$A$25&lt;&gt;"")*($D$10:$D$25&lt;=H263))+1,$E$10:$E$25,0)))</f>
        <v/>
      </c>
      <c r="K263" s="24" t="n">
        <f aca="false">IF(H263&gt;=TotalStations,0,IF(B263="Dédié",MIN(FLOOR(420/J263,1),(TotalStations-H263)),MIN(2,(TotalStations-H263))))</f>
        <v>0</v>
      </c>
      <c r="L263" s="24" t="n">
        <f aca="false">H263+K263</f>
        <v>199</v>
      </c>
      <c r="M263" s="24" t="n">
        <f aca="false">Q262</f>
        <v>199</v>
      </c>
      <c r="N263" s="24" t="str">
        <f aca="false">IF(M263&gt;=TotalStations,"Terminé",INDEX($A$10:$A$25,MATCH(SUMPRODUCT(($A$10:$A$25&lt;&gt;"")*($D$10:$D$25&lt;=M263))+1,$E$10:$E$25,0)))</f>
        <v>Terminé</v>
      </c>
      <c r="O263" s="24" t="str">
        <f aca="false">IF(M263&gt;=TotalStations,"",INDEX($C$10:$C$25,MATCH(SUMPRODUCT(($A$10:$A$25&lt;&gt;"")*($D$10:$D$25&lt;=M263))+1,$E$10:$E$25,0)))</f>
        <v/>
      </c>
      <c r="P263" s="24" t="n">
        <f aca="false">IF(M263&gt;=TotalStations,0,MIN(FLOOR(420/O263,1),(TotalStations-M263)))</f>
        <v>0</v>
      </c>
      <c r="Q263" s="24" t="n">
        <f aca="false">M263+P263</f>
        <v>199</v>
      </c>
    </row>
    <row r="264" customFormat="false" ht="15" hidden="false" customHeight="true" outlineLevel="0" collapsed="false">
      <c r="A264" s="37" t="n">
        <f aca="false">WORKDAY(A263,1)</f>
        <v>46541</v>
      </c>
      <c r="B264" s="24" t="str">
        <f aca="false">IF(COUNTIF($B$5:$F$5,A264)&gt;0,"Dédié","Normal")</f>
        <v>Normal</v>
      </c>
      <c r="C264" s="24" t="n">
        <f aca="false">G263</f>
        <v>199</v>
      </c>
      <c r="D264" s="24" t="str">
        <f aca="false">IF(C264&gt;=TotalStations,"Terminé",INDEX($A$10:$A$25,MATCH(SUMPRODUCT(($A$10:$A$25&lt;&gt;"")*($D$10:$D$25&lt;=C264))+1,$E$10:$E$25,0)))</f>
        <v>Terminé</v>
      </c>
      <c r="E264" s="24" t="str">
        <f aca="false">IF(C264&gt;=TotalStations,"",INDEX($C$10:$C$25,MATCH(SUMPRODUCT(($A$10:$A$25&lt;&gt;"")*($D$10:$D$25&lt;=C264))+1,$E$10:$E$25,0)))</f>
        <v/>
      </c>
      <c r="F264" s="24" t="n">
        <f aca="false">IF(C264&gt;=TotalStations,0,IF(B264="Dédié",MIN(FLOOR(420/E264,1),(TotalStations-C264)),MIN(1,(TotalStations-C264))))</f>
        <v>0</v>
      </c>
      <c r="G264" s="24" t="n">
        <f aca="false">C264+F264</f>
        <v>199</v>
      </c>
      <c r="H264" s="24" t="n">
        <f aca="false">L263</f>
        <v>199</v>
      </c>
      <c r="I264" s="24" t="str">
        <f aca="false">IF(H264&gt;=TotalStations,"Terminé",INDEX($A$10:$A$25,MATCH(SUMPRODUCT(($A$10:$A$25&lt;&gt;"")*($D$10:$D$25&lt;=H264))+1,$E$10:$E$25,0)))</f>
        <v>Terminé</v>
      </c>
      <c r="J264" s="24" t="str">
        <f aca="false">IF(H264&gt;=TotalStations,"",INDEX($C$10:$C$25,MATCH(SUMPRODUCT(($A$10:$A$25&lt;&gt;"")*($D$10:$D$25&lt;=H264))+1,$E$10:$E$25,0)))</f>
        <v/>
      </c>
      <c r="K264" s="24" t="n">
        <f aca="false">IF(H264&gt;=TotalStations,0,IF(B264="Dédié",MIN(FLOOR(420/J264,1),(TotalStations-H264)),MIN(2,(TotalStations-H264))))</f>
        <v>0</v>
      </c>
      <c r="L264" s="24" t="n">
        <f aca="false">H264+K264</f>
        <v>199</v>
      </c>
      <c r="M264" s="24" t="n">
        <f aca="false">Q263</f>
        <v>199</v>
      </c>
      <c r="N264" s="24" t="str">
        <f aca="false">IF(M264&gt;=TotalStations,"Terminé",INDEX($A$10:$A$25,MATCH(SUMPRODUCT(($A$10:$A$25&lt;&gt;"")*($D$10:$D$25&lt;=M264))+1,$E$10:$E$25,0)))</f>
        <v>Terminé</v>
      </c>
      <c r="O264" s="24" t="str">
        <f aca="false">IF(M264&gt;=TotalStations,"",INDEX($C$10:$C$25,MATCH(SUMPRODUCT(($A$10:$A$25&lt;&gt;"")*($D$10:$D$25&lt;=M264))+1,$E$10:$E$25,0)))</f>
        <v/>
      </c>
      <c r="P264" s="24" t="n">
        <f aca="false">IF(M264&gt;=TotalStations,0,MIN(FLOOR(420/O264,1),(TotalStations-M264)))</f>
        <v>0</v>
      </c>
      <c r="Q264" s="24" t="n">
        <f aca="false">M264+P264</f>
        <v>199</v>
      </c>
    </row>
    <row r="265" customFormat="false" ht="15" hidden="false" customHeight="true" outlineLevel="0" collapsed="false">
      <c r="A265" s="37" t="n">
        <f aca="false">WORKDAY(A264,1)</f>
        <v>46542</v>
      </c>
      <c r="B265" s="24" t="str">
        <f aca="false">IF(COUNTIF($B$5:$F$5,A265)&gt;0,"Dédié","Normal")</f>
        <v>Normal</v>
      </c>
      <c r="C265" s="24" t="n">
        <f aca="false">G264</f>
        <v>199</v>
      </c>
      <c r="D265" s="24" t="str">
        <f aca="false">IF(C265&gt;=TotalStations,"Terminé",INDEX($A$10:$A$25,MATCH(SUMPRODUCT(($A$10:$A$25&lt;&gt;"")*($D$10:$D$25&lt;=C265))+1,$E$10:$E$25,0)))</f>
        <v>Terminé</v>
      </c>
      <c r="E265" s="24" t="str">
        <f aca="false">IF(C265&gt;=TotalStations,"",INDEX($C$10:$C$25,MATCH(SUMPRODUCT(($A$10:$A$25&lt;&gt;"")*($D$10:$D$25&lt;=C265))+1,$E$10:$E$25,0)))</f>
        <v/>
      </c>
      <c r="F265" s="24" t="n">
        <f aca="false">IF(C265&gt;=TotalStations,0,IF(B265="Dédié",MIN(FLOOR(420/E265,1),(TotalStations-C265)),MIN(1,(TotalStations-C265))))</f>
        <v>0</v>
      </c>
      <c r="G265" s="24" t="n">
        <f aca="false">C265+F265</f>
        <v>199</v>
      </c>
      <c r="H265" s="24" t="n">
        <f aca="false">L264</f>
        <v>199</v>
      </c>
      <c r="I265" s="24" t="str">
        <f aca="false">IF(H265&gt;=TotalStations,"Terminé",INDEX($A$10:$A$25,MATCH(SUMPRODUCT(($A$10:$A$25&lt;&gt;"")*($D$10:$D$25&lt;=H265))+1,$E$10:$E$25,0)))</f>
        <v>Terminé</v>
      </c>
      <c r="J265" s="24" t="str">
        <f aca="false">IF(H265&gt;=TotalStations,"",INDEX($C$10:$C$25,MATCH(SUMPRODUCT(($A$10:$A$25&lt;&gt;"")*($D$10:$D$25&lt;=H265))+1,$E$10:$E$25,0)))</f>
        <v/>
      </c>
      <c r="K265" s="24" t="n">
        <f aca="false">IF(H265&gt;=TotalStations,0,IF(B265="Dédié",MIN(FLOOR(420/J265,1),(TotalStations-H265)),MIN(2,(TotalStations-H265))))</f>
        <v>0</v>
      </c>
      <c r="L265" s="24" t="n">
        <f aca="false">H265+K265</f>
        <v>199</v>
      </c>
      <c r="M265" s="24" t="n">
        <f aca="false">Q264</f>
        <v>199</v>
      </c>
      <c r="N265" s="24" t="str">
        <f aca="false">IF(M265&gt;=TotalStations,"Terminé",INDEX($A$10:$A$25,MATCH(SUMPRODUCT(($A$10:$A$25&lt;&gt;"")*($D$10:$D$25&lt;=M265))+1,$E$10:$E$25,0)))</f>
        <v>Terminé</v>
      </c>
      <c r="O265" s="24" t="str">
        <f aca="false">IF(M265&gt;=TotalStations,"",INDEX($C$10:$C$25,MATCH(SUMPRODUCT(($A$10:$A$25&lt;&gt;"")*($D$10:$D$25&lt;=M265))+1,$E$10:$E$25,0)))</f>
        <v/>
      </c>
      <c r="P265" s="24" t="n">
        <f aca="false">IF(M265&gt;=TotalStations,0,MIN(FLOOR(420/O265,1),(TotalStations-M265)))</f>
        <v>0</v>
      </c>
      <c r="Q265" s="24" t="n">
        <f aca="false">M265+P265</f>
        <v>199</v>
      </c>
    </row>
    <row r="266" customFormat="false" ht="15" hidden="false" customHeight="true" outlineLevel="0" collapsed="false">
      <c r="A266" s="37" t="n">
        <f aca="false">WORKDAY(A265,1)</f>
        <v>46545</v>
      </c>
      <c r="B266" s="24" t="str">
        <f aca="false">IF(COUNTIF($B$5:$F$5,A266)&gt;0,"Dédié","Normal")</f>
        <v>Normal</v>
      </c>
      <c r="C266" s="24" t="n">
        <f aca="false">G265</f>
        <v>199</v>
      </c>
      <c r="D266" s="24" t="str">
        <f aca="false">IF(C266&gt;=TotalStations,"Terminé",INDEX($A$10:$A$25,MATCH(SUMPRODUCT(($A$10:$A$25&lt;&gt;"")*($D$10:$D$25&lt;=C266))+1,$E$10:$E$25,0)))</f>
        <v>Terminé</v>
      </c>
      <c r="E266" s="24" t="str">
        <f aca="false">IF(C266&gt;=TotalStations,"",INDEX($C$10:$C$25,MATCH(SUMPRODUCT(($A$10:$A$25&lt;&gt;"")*($D$10:$D$25&lt;=C266))+1,$E$10:$E$25,0)))</f>
        <v/>
      </c>
      <c r="F266" s="24" t="n">
        <f aca="false">IF(C266&gt;=TotalStations,0,IF(B266="Dédié",MIN(FLOOR(420/E266,1),(TotalStations-C266)),MIN(1,(TotalStations-C266))))</f>
        <v>0</v>
      </c>
      <c r="G266" s="24" t="n">
        <f aca="false">C266+F266</f>
        <v>199</v>
      </c>
      <c r="H266" s="24" t="n">
        <f aca="false">L265</f>
        <v>199</v>
      </c>
      <c r="I266" s="24" t="str">
        <f aca="false">IF(H266&gt;=TotalStations,"Terminé",INDEX($A$10:$A$25,MATCH(SUMPRODUCT(($A$10:$A$25&lt;&gt;"")*($D$10:$D$25&lt;=H266))+1,$E$10:$E$25,0)))</f>
        <v>Terminé</v>
      </c>
      <c r="J266" s="24" t="str">
        <f aca="false">IF(H266&gt;=TotalStations,"",INDEX($C$10:$C$25,MATCH(SUMPRODUCT(($A$10:$A$25&lt;&gt;"")*($D$10:$D$25&lt;=H266))+1,$E$10:$E$25,0)))</f>
        <v/>
      </c>
      <c r="K266" s="24" t="n">
        <f aca="false">IF(H266&gt;=TotalStations,0,IF(B266="Dédié",MIN(FLOOR(420/J266,1),(TotalStations-H266)),MIN(2,(TotalStations-H266))))</f>
        <v>0</v>
      </c>
      <c r="L266" s="24" t="n">
        <f aca="false">H266+K266</f>
        <v>199</v>
      </c>
      <c r="M266" s="24" t="n">
        <f aca="false">Q265</f>
        <v>199</v>
      </c>
      <c r="N266" s="24" t="str">
        <f aca="false">IF(M266&gt;=TotalStations,"Terminé",INDEX($A$10:$A$25,MATCH(SUMPRODUCT(($A$10:$A$25&lt;&gt;"")*($D$10:$D$25&lt;=M266))+1,$E$10:$E$25,0)))</f>
        <v>Terminé</v>
      </c>
      <c r="O266" s="24" t="str">
        <f aca="false">IF(M266&gt;=TotalStations,"",INDEX($C$10:$C$25,MATCH(SUMPRODUCT(($A$10:$A$25&lt;&gt;"")*($D$10:$D$25&lt;=M266))+1,$E$10:$E$25,0)))</f>
        <v/>
      </c>
      <c r="P266" s="24" t="n">
        <f aca="false">IF(M266&gt;=TotalStations,0,MIN(FLOOR(420/O266,1),(TotalStations-M266)))</f>
        <v>0</v>
      </c>
      <c r="Q266" s="24" t="n">
        <f aca="false">M266+P266</f>
        <v>199</v>
      </c>
    </row>
    <row r="267" customFormat="false" ht="15" hidden="false" customHeight="true" outlineLevel="0" collapsed="false">
      <c r="A267" s="37" t="n">
        <f aca="false">WORKDAY(A266,1)</f>
        <v>46546</v>
      </c>
      <c r="B267" s="24" t="str">
        <f aca="false">IF(COUNTIF($B$5:$F$5,A267)&gt;0,"Dédié","Normal")</f>
        <v>Normal</v>
      </c>
      <c r="C267" s="24" t="n">
        <f aca="false">G266</f>
        <v>199</v>
      </c>
      <c r="D267" s="24" t="str">
        <f aca="false">IF(C267&gt;=TotalStations,"Terminé",INDEX($A$10:$A$25,MATCH(SUMPRODUCT(($A$10:$A$25&lt;&gt;"")*($D$10:$D$25&lt;=C267))+1,$E$10:$E$25,0)))</f>
        <v>Terminé</v>
      </c>
      <c r="E267" s="24" t="str">
        <f aca="false">IF(C267&gt;=TotalStations,"",INDEX($C$10:$C$25,MATCH(SUMPRODUCT(($A$10:$A$25&lt;&gt;"")*($D$10:$D$25&lt;=C267))+1,$E$10:$E$25,0)))</f>
        <v/>
      </c>
      <c r="F267" s="24" t="n">
        <f aca="false">IF(C267&gt;=TotalStations,0,IF(B267="Dédié",MIN(FLOOR(420/E267,1),(TotalStations-C267)),MIN(1,(TotalStations-C267))))</f>
        <v>0</v>
      </c>
      <c r="G267" s="24" t="n">
        <f aca="false">C267+F267</f>
        <v>199</v>
      </c>
      <c r="H267" s="24" t="n">
        <f aca="false">L266</f>
        <v>199</v>
      </c>
      <c r="I267" s="24" t="str">
        <f aca="false">IF(H267&gt;=TotalStations,"Terminé",INDEX($A$10:$A$25,MATCH(SUMPRODUCT(($A$10:$A$25&lt;&gt;"")*($D$10:$D$25&lt;=H267))+1,$E$10:$E$25,0)))</f>
        <v>Terminé</v>
      </c>
      <c r="J267" s="24" t="str">
        <f aca="false">IF(H267&gt;=TotalStations,"",INDEX($C$10:$C$25,MATCH(SUMPRODUCT(($A$10:$A$25&lt;&gt;"")*($D$10:$D$25&lt;=H267))+1,$E$10:$E$25,0)))</f>
        <v/>
      </c>
      <c r="K267" s="24" t="n">
        <f aca="false">IF(H267&gt;=TotalStations,0,IF(B267="Dédié",MIN(FLOOR(420/J267,1),(TotalStations-H267)),MIN(2,(TotalStations-H267))))</f>
        <v>0</v>
      </c>
      <c r="L267" s="24" t="n">
        <f aca="false">H267+K267</f>
        <v>199</v>
      </c>
      <c r="M267" s="24" t="n">
        <f aca="false">Q266</f>
        <v>199</v>
      </c>
      <c r="N267" s="24" t="str">
        <f aca="false">IF(M267&gt;=TotalStations,"Terminé",INDEX($A$10:$A$25,MATCH(SUMPRODUCT(($A$10:$A$25&lt;&gt;"")*($D$10:$D$25&lt;=M267))+1,$E$10:$E$25,0)))</f>
        <v>Terminé</v>
      </c>
      <c r="O267" s="24" t="str">
        <f aca="false">IF(M267&gt;=TotalStations,"",INDEX($C$10:$C$25,MATCH(SUMPRODUCT(($A$10:$A$25&lt;&gt;"")*($D$10:$D$25&lt;=M267))+1,$E$10:$E$25,0)))</f>
        <v/>
      </c>
      <c r="P267" s="24" t="n">
        <f aca="false">IF(M267&gt;=TotalStations,0,MIN(FLOOR(420/O267,1),(TotalStations-M267)))</f>
        <v>0</v>
      </c>
      <c r="Q267" s="24" t="n">
        <f aca="false">M267+P267</f>
        <v>199</v>
      </c>
    </row>
    <row r="268" customFormat="false" ht="15" hidden="false" customHeight="true" outlineLevel="0" collapsed="false">
      <c r="A268" s="37" t="n">
        <f aca="false">WORKDAY(A267,1)</f>
        <v>46547</v>
      </c>
      <c r="B268" s="24" t="str">
        <f aca="false">IF(COUNTIF($B$5:$F$5,A268)&gt;0,"Dédié","Normal")</f>
        <v>Normal</v>
      </c>
      <c r="C268" s="24" t="n">
        <f aca="false">G267</f>
        <v>199</v>
      </c>
      <c r="D268" s="24" t="str">
        <f aca="false">IF(C268&gt;=TotalStations,"Terminé",INDEX($A$10:$A$25,MATCH(SUMPRODUCT(($A$10:$A$25&lt;&gt;"")*($D$10:$D$25&lt;=C268))+1,$E$10:$E$25,0)))</f>
        <v>Terminé</v>
      </c>
      <c r="E268" s="24" t="str">
        <f aca="false">IF(C268&gt;=TotalStations,"",INDEX($C$10:$C$25,MATCH(SUMPRODUCT(($A$10:$A$25&lt;&gt;"")*($D$10:$D$25&lt;=C268))+1,$E$10:$E$25,0)))</f>
        <v/>
      </c>
      <c r="F268" s="24" t="n">
        <f aca="false">IF(C268&gt;=TotalStations,0,IF(B268="Dédié",MIN(FLOOR(420/E268,1),(TotalStations-C268)),MIN(1,(TotalStations-C268))))</f>
        <v>0</v>
      </c>
      <c r="G268" s="24" t="n">
        <f aca="false">C268+F268</f>
        <v>199</v>
      </c>
      <c r="H268" s="24" t="n">
        <f aca="false">L267</f>
        <v>199</v>
      </c>
      <c r="I268" s="24" t="str">
        <f aca="false">IF(H268&gt;=TotalStations,"Terminé",INDEX($A$10:$A$25,MATCH(SUMPRODUCT(($A$10:$A$25&lt;&gt;"")*($D$10:$D$25&lt;=H268))+1,$E$10:$E$25,0)))</f>
        <v>Terminé</v>
      </c>
      <c r="J268" s="24" t="str">
        <f aca="false">IF(H268&gt;=TotalStations,"",INDEX($C$10:$C$25,MATCH(SUMPRODUCT(($A$10:$A$25&lt;&gt;"")*($D$10:$D$25&lt;=H268))+1,$E$10:$E$25,0)))</f>
        <v/>
      </c>
      <c r="K268" s="24" t="n">
        <f aca="false">IF(H268&gt;=TotalStations,0,IF(B268="Dédié",MIN(FLOOR(420/J268,1),(TotalStations-H268)),MIN(2,(TotalStations-H268))))</f>
        <v>0</v>
      </c>
      <c r="L268" s="24" t="n">
        <f aca="false">H268+K268</f>
        <v>199</v>
      </c>
      <c r="M268" s="24" t="n">
        <f aca="false">Q267</f>
        <v>199</v>
      </c>
      <c r="N268" s="24" t="str">
        <f aca="false">IF(M268&gt;=TotalStations,"Terminé",INDEX($A$10:$A$25,MATCH(SUMPRODUCT(($A$10:$A$25&lt;&gt;"")*($D$10:$D$25&lt;=M268))+1,$E$10:$E$25,0)))</f>
        <v>Terminé</v>
      </c>
      <c r="O268" s="24" t="str">
        <f aca="false">IF(M268&gt;=TotalStations,"",INDEX($C$10:$C$25,MATCH(SUMPRODUCT(($A$10:$A$25&lt;&gt;"")*($D$10:$D$25&lt;=M268))+1,$E$10:$E$25,0)))</f>
        <v/>
      </c>
      <c r="P268" s="24" t="n">
        <f aca="false">IF(M268&gt;=TotalStations,0,MIN(FLOOR(420/O268,1),(TotalStations-M268)))</f>
        <v>0</v>
      </c>
      <c r="Q268" s="24" t="n">
        <f aca="false">M268+P268</f>
        <v>199</v>
      </c>
    </row>
    <row r="269" customFormat="false" ht="15" hidden="false" customHeight="true" outlineLevel="0" collapsed="false">
      <c r="A269" s="37" t="n">
        <f aca="false">WORKDAY(A268,1)</f>
        <v>46548</v>
      </c>
      <c r="B269" s="24" t="str">
        <f aca="false">IF(COUNTIF($B$5:$F$5,A269)&gt;0,"Dédié","Normal")</f>
        <v>Normal</v>
      </c>
      <c r="C269" s="24" t="n">
        <f aca="false">G268</f>
        <v>199</v>
      </c>
      <c r="D269" s="24" t="str">
        <f aca="false">IF(C269&gt;=TotalStations,"Terminé",INDEX($A$10:$A$25,MATCH(SUMPRODUCT(($A$10:$A$25&lt;&gt;"")*($D$10:$D$25&lt;=C269))+1,$E$10:$E$25,0)))</f>
        <v>Terminé</v>
      </c>
      <c r="E269" s="24" t="str">
        <f aca="false">IF(C269&gt;=TotalStations,"",INDEX($C$10:$C$25,MATCH(SUMPRODUCT(($A$10:$A$25&lt;&gt;"")*($D$10:$D$25&lt;=C269))+1,$E$10:$E$25,0)))</f>
        <v/>
      </c>
      <c r="F269" s="24" t="n">
        <f aca="false">IF(C269&gt;=TotalStations,0,IF(B269="Dédié",MIN(FLOOR(420/E269,1),(TotalStations-C269)),MIN(1,(TotalStations-C269))))</f>
        <v>0</v>
      </c>
      <c r="G269" s="24" t="n">
        <f aca="false">C269+F269</f>
        <v>199</v>
      </c>
      <c r="H269" s="24" t="n">
        <f aca="false">L268</f>
        <v>199</v>
      </c>
      <c r="I269" s="24" t="str">
        <f aca="false">IF(H269&gt;=TotalStations,"Terminé",INDEX($A$10:$A$25,MATCH(SUMPRODUCT(($A$10:$A$25&lt;&gt;"")*($D$10:$D$25&lt;=H269))+1,$E$10:$E$25,0)))</f>
        <v>Terminé</v>
      </c>
      <c r="J269" s="24" t="str">
        <f aca="false">IF(H269&gt;=TotalStations,"",INDEX($C$10:$C$25,MATCH(SUMPRODUCT(($A$10:$A$25&lt;&gt;"")*($D$10:$D$25&lt;=H269))+1,$E$10:$E$25,0)))</f>
        <v/>
      </c>
      <c r="K269" s="24" t="n">
        <f aca="false">IF(H269&gt;=TotalStations,0,IF(B269="Dédié",MIN(FLOOR(420/J269,1),(TotalStations-H269)),MIN(2,(TotalStations-H269))))</f>
        <v>0</v>
      </c>
      <c r="L269" s="24" t="n">
        <f aca="false">H269+K269</f>
        <v>199</v>
      </c>
      <c r="M269" s="24" t="n">
        <f aca="false">Q268</f>
        <v>199</v>
      </c>
      <c r="N269" s="24" t="str">
        <f aca="false">IF(M269&gt;=TotalStations,"Terminé",INDEX($A$10:$A$25,MATCH(SUMPRODUCT(($A$10:$A$25&lt;&gt;"")*($D$10:$D$25&lt;=M269))+1,$E$10:$E$25,0)))</f>
        <v>Terminé</v>
      </c>
      <c r="O269" s="24" t="str">
        <f aca="false">IF(M269&gt;=TotalStations,"",INDEX($C$10:$C$25,MATCH(SUMPRODUCT(($A$10:$A$25&lt;&gt;"")*($D$10:$D$25&lt;=M269))+1,$E$10:$E$25,0)))</f>
        <v/>
      </c>
      <c r="P269" s="24" t="n">
        <f aca="false">IF(M269&gt;=TotalStations,0,MIN(FLOOR(420/O269,1),(TotalStations-M269)))</f>
        <v>0</v>
      </c>
      <c r="Q269" s="24" t="n">
        <f aca="false">M269+P269</f>
        <v>199</v>
      </c>
    </row>
    <row r="270" customFormat="false" ht="15" hidden="false" customHeight="true" outlineLevel="0" collapsed="false">
      <c r="A270" s="37" t="n">
        <f aca="false">WORKDAY(A269,1)</f>
        <v>46549</v>
      </c>
      <c r="B270" s="24" t="str">
        <f aca="false">IF(COUNTIF($B$5:$F$5,A270)&gt;0,"Dédié","Normal")</f>
        <v>Normal</v>
      </c>
      <c r="C270" s="24" t="n">
        <f aca="false">G269</f>
        <v>199</v>
      </c>
      <c r="D270" s="24" t="str">
        <f aca="false">IF(C270&gt;=TotalStations,"Terminé",INDEX($A$10:$A$25,MATCH(SUMPRODUCT(($A$10:$A$25&lt;&gt;"")*($D$10:$D$25&lt;=C270))+1,$E$10:$E$25,0)))</f>
        <v>Terminé</v>
      </c>
      <c r="E270" s="24" t="str">
        <f aca="false">IF(C270&gt;=TotalStations,"",INDEX($C$10:$C$25,MATCH(SUMPRODUCT(($A$10:$A$25&lt;&gt;"")*($D$10:$D$25&lt;=C270))+1,$E$10:$E$25,0)))</f>
        <v/>
      </c>
      <c r="F270" s="24" t="n">
        <f aca="false">IF(C270&gt;=TotalStations,0,IF(B270="Dédié",MIN(FLOOR(420/E270,1),(TotalStations-C270)),MIN(1,(TotalStations-C270))))</f>
        <v>0</v>
      </c>
      <c r="G270" s="24" t="n">
        <f aca="false">C270+F270</f>
        <v>199</v>
      </c>
      <c r="H270" s="24" t="n">
        <f aca="false">L269</f>
        <v>199</v>
      </c>
      <c r="I270" s="24" t="str">
        <f aca="false">IF(H270&gt;=TotalStations,"Terminé",INDEX($A$10:$A$25,MATCH(SUMPRODUCT(($A$10:$A$25&lt;&gt;"")*($D$10:$D$25&lt;=H270))+1,$E$10:$E$25,0)))</f>
        <v>Terminé</v>
      </c>
      <c r="J270" s="24" t="str">
        <f aca="false">IF(H270&gt;=TotalStations,"",INDEX($C$10:$C$25,MATCH(SUMPRODUCT(($A$10:$A$25&lt;&gt;"")*($D$10:$D$25&lt;=H270))+1,$E$10:$E$25,0)))</f>
        <v/>
      </c>
      <c r="K270" s="24" t="n">
        <f aca="false">IF(H270&gt;=TotalStations,0,IF(B270="Dédié",MIN(FLOOR(420/J270,1),(TotalStations-H270)),MIN(2,(TotalStations-H270))))</f>
        <v>0</v>
      </c>
      <c r="L270" s="24" t="n">
        <f aca="false">H270+K270</f>
        <v>199</v>
      </c>
      <c r="M270" s="24" t="n">
        <f aca="false">Q269</f>
        <v>199</v>
      </c>
      <c r="N270" s="24" t="str">
        <f aca="false">IF(M270&gt;=TotalStations,"Terminé",INDEX($A$10:$A$25,MATCH(SUMPRODUCT(($A$10:$A$25&lt;&gt;"")*($D$10:$D$25&lt;=M270))+1,$E$10:$E$25,0)))</f>
        <v>Terminé</v>
      </c>
      <c r="O270" s="24" t="str">
        <f aca="false">IF(M270&gt;=TotalStations,"",INDEX($C$10:$C$25,MATCH(SUMPRODUCT(($A$10:$A$25&lt;&gt;"")*($D$10:$D$25&lt;=M270))+1,$E$10:$E$25,0)))</f>
        <v/>
      </c>
      <c r="P270" s="24" t="n">
        <f aca="false">IF(M270&gt;=TotalStations,0,MIN(FLOOR(420/O270,1),(TotalStations-M270)))</f>
        <v>0</v>
      </c>
      <c r="Q270" s="24" t="n">
        <f aca="false">M270+P270</f>
        <v>199</v>
      </c>
    </row>
    <row r="271" customFormat="false" ht="15" hidden="false" customHeight="true" outlineLevel="0" collapsed="false">
      <c r="A271" s="37" t="n">
        <f aca="false">WORKDAY(A270,1)</f>
        <v>46552</v>
      </c>
      <c r="B271" s="24" t="str">
        <f aca="false">IF(COUNTIF($B$5:$F$5,A271)&gt;0,"Dédié","Normal")</f>
        <v>Normal</v>
      </c>
      <c r="C271" s="24" t="n">
        <f aca="false">G270</f>
        <v>199</v>
      </c>
      <c r="D271" s="24" t="str">
        <f aca="false">IF(C271&gt;=TotalStations,"Terminé",INDEX($A$10:$A$25,MATCH(SUMPRODUCT(($A$10:$A$25&lt;&gt;"")*($D$10:$D$25&lt;=C271))+1,$E$10:$E$25,0)))</f>
        <v>Terminé</v>
      </c>
      <c r="E271" s="24" t="str">
        <f aca="false">IF(C271&gt;=TotalStations,"",INDEX($C$10:$C$25,MATCH(SUMPRODUCT(($A$10:$A$25&lt;&gt;"")*($D$10:$D$25&lt;=C271))+1,$E$10:$E$25,0)))</f>
        <v/>
      </c>
      <c r="F271" s="24" t="n">
        <f aca="false">IF(C271&gt;=TotalStations,0,IF(B271="Dédié",MIN(FLOOR(420/E271,1),(TotalStations-C271)),MIN(1,(TotalStations-C271))))</f>
        <v>0</v>
      </c>
      <c r="G271" s="24" t="n">
        <f aca="false">C271+F271</f>
        <v>199</v>
      </c>
      <c r="H271" s="24" t="n">
        <f aca="false">L270</f>
        <v>199</v>
      </c>
      <c r="I271" s="24" t="str">
        <f aca="false">IF(H271&gt;=TotalStations,"Terminé",INDEX($A$10:$A$25,MATCH(SUMPRODUCT(($A$10:$A$25&lt;&gt;"")*($D$10:$D$25&lt;=H271))+1,$E$10:$E$25,0)))</f>
        <v>Terminé</v>
      </c>
      <c r="J271" s="24" t="str">
        <f aca="false">IF(H271&gt;=TotalStations,"",INDEX($C$10:$C$25,MATCH(SUMPRODUCT(($A$10:$A$25&lt;&gt;"")*($D$10:$D$25&lt;=H271))+1,$E$10:$E$25,0)))</f>
        <v/>
      </c>
      <c r="K271" s="24" t="n">
        <f aca="false">IF(H271&gt;=TotalStations,0,IF(B271="Dédié",MIN(FLOOR(420/J271,1),(TotalStations-H271)),MIN(2,(TotalStations-H271))))</f>
        <v>0</v>
      </c>
      <c r="L271" s="24" t="n">
        <f aca="false">H271+K271</f>
        <v>199</v>
      </c>
      <c r="M271" s="24" t="n">
        <f aca="false">Q270</f>
        <v>199</v>
      </c>
      <c r="N271" s="24" t="str">
        <f aca="false">IF(M271&gt;=TotalStations,"Terminé",INDEX($A$10:$A$25,MATCH(SUMPRODUCT(($A$10:$A$25&lt;&gt;"")*($D$10:$D$25&lt;=M271))+1,$E$10:$E$25,0)))</f>
        <v>Terminé</v>
      </c>
      <c r="O271" s="24" t="str">
        <f aca="false">IF(M271&gt;=TotalStations,"",INDEX($C$10:$C$25,MATCH(SUMPRODUCT(($A$10:$A$25&lt;&gt;"")*($D$10:$D$25&lt;=M271))+1,$E$10:$E$25,0)))</f>
        <v/>
      </c>
      <c r="P271" s="24" t="n">
        <f aca="false">IF(M271&gt;=TotalStations,0,MIN(FLOOR(420/O271,1),(TotalStations-M271)))</f>
        <v>0</v>
      </c>
      <c r="Q271" s="24" t="n">
        <f aca="false">M271+P271</f>
        <v>199</v>
      </c>
    </row>
    <row r="272" customFormat="false" ht="15" hidden="false" customHeight="true" outlineLevel="0" collapsed="false">
      <c r="A272" s="37" t="n">
        <f aca="false">WORKDAY(A271,1)</f>
        <v>46553</v>
      </c>
      <c r="B272" s="24" t="str">
        <f aca="false">IF(COUNTIF($B$5:$F$5,A272)&gt;0,"Dédié","Normal")</f>
        <v>Normal</v>
      </c>
      <c r="C272" s="24" t="n">
        <f aca="false">G271</f>
        <v>199</v>
      </c>
      <c r="D272" s="24" t="str">
        <f aca="false">IF(C272&gt;=TotalStations,"Terminé",INDEX($A$10:$A$25,MATCH(SUMPRODUCT(($A$10:$A$25&lt;&gt;"")*($D$10:$D$25&lt;=C272))+1,$E$10:$E$25,0)))</f>
        <v>Terminé</v>
      </c>
      <c r="E272" s="24" t="str">
        <f aca="false">IF(C272&gt;=TotalStations,"",INDEX($C$10:$C$25,MATCH(SUMPRODUCT(($A$10:$A$25&lt;&gt;"")*($D$10:$D$25&lt;=C272))+1,$E$10:$E$25,0)))</f>
        <v/>
      </c>
      <c r="F272" s="24" t="n">
        <f aca="false">IF(C272&gt;=TotalStations,0,IF(B272="Dédié",MIN(FLOOR(420/E272,1),(TotalStations-C272)),MIN(1,(TotalStations-C272))))</f>
        <v>0</v>
      </c>
      <c r="G272" s="24" t="n">
        <f aca="false">C272+F272</f>
        <v>199</v>
      </c>
      <c r="H272" s="24" t="n">
        <f aca="false">L271</f>
        <v>199</v>
      </c>
      <c r="I272" s="24" t="str">
        <f aca="false">IF(H272&gt;=TotalStations,"Terminé",INDEX($A$10:$A$25,MATCH(SUMPRODUCT(($A$10:$A$25&lt;&gt;"")*($D$10:$D$25&lt;=H272))+1,$E$10:$E$25,0)))</f>
        <v>Terminé</v>
      </c>
      <c r="J272" s="24" t="str">
        <f aca="false">IF(H272&gt;=TotalStations,"",INDEX($C$10:$C$25,MATCH(SUMPRODUCT(($A$10:$A$25&lt;&gt;"")*($D$10:$D$25&lt;=H272))+1,$E$10:$E$25,0)))</f>
        <v/>
      </c>
      <c r="K272" s="24" t="n">
        <f aca="false">IF(H272&gt;=TotalStations,0,IF(B272="Dédié",MIN(FLOOR(420/J272,1),(TotalStations-H272)),MIN(2,(TotalStations-H272))))</f>
        <v>0</v>
      </c>
      <c r="L272" s="24" t="n">
        <f aca="false">H272+K272</f>
        <v>199</v>
      </c>
      <c r="M272" s="24" t="n">
        <f aca="false">Q271</f>
        <v>199</v>
      </c>
      <c r="N272" s="24" t="str">
        <f aca="false">IF(M272&gt;=TotalStations,"Terminé",INDEX($A$10:$A$25,MATCH(SUMPRODUCT(($A$10:$A$25&lt;&gt;"")*($D$10:$D$25&lt;=M272))+1,$E$10:$E$25,0)))</f>
        <v>Terminé</v>
      </c>
      <c r="O272" s="24" t="str">
        <f aca="false">IF(M272&gt;=TotalStations,"",INDEX($C$10:$C$25,MATCH(SUMPRODUCT(($A$10:$A$25&lt;&gt;"")*($D$10:$D$25&lt;=M272))+1,$E$10:$E$25,0)))</f>
        <v/>
      </c>
      <c r="P272" s="24" t="n">
        <f aca="false">IF(M272&gt;=TotalStations,0,MIN(FLOOR(420/O272,1),(TotalStations-M272)))</f>
        <v>0</v>
      </c>
      <c r="Q272" s="24" t="n">
        <f aca="false">M272+P272</f>
        <v>199</v>
      </c>
    </row>
    <row r="273" customFormat="false" ht="15" hidden="false" customHeight="true" outlineLevel="0" collapsed="false">
      <c r="A273" s="37" t="n">
        <f aca="false">WORKDAY(A272,1)</f>
        <v>46554</v>
      </c>
      <c r="B273" s="24" t="str">
        <f aca="false">IF(COUNTIF($B$5:$F$5,A273)&gt;0,"Dédié","Normal")</f>
        <v>Normal</v>
      </c>
      <c r="C273" s="24" t="n">
        <f aca="false">G272</f>
        <v>199</v>
      </c>
      <c r="D273" s="24" t="str">
        <f aca="false">IF(C273&gt;=TotalStations,"Terminé",INDEX($A$10:$A$25,MATCH(SUMPRODUCT(($A$10:$A$25&lt;&gt;"")*($D$10:$D$25&lt;=C273))+1,$E$10:$E$25,0)))</f>
        <v>Terminé</v>
      </c>
      <c r="E273" s="24" t="str">
        <f aca="false">IF(C273&gt;=TotalStations,"",INDEX($C$10:$C$25,MATCH(SUMPRODUCT(($A$10:$A$25&lt;&gt;"")*($D$10:$D$25&lt;=C273))+1,$E$10:$E$25,0)))</f>
        <v/>
      </c>
      <c r="F273" s="24" t="n">
        <f aca="false">IF(C273&gt;=TotalStations,0,IF(B273="Dédié",MIN(FLOOR(420/E273,1),(TotalStations-C273)),MIN(1,(TotalStations-C273))))</f>
        <v>0</v>
      </c>
      <c r="G273" s="24" t="n">
        <f aca="false">C273+F273</f>
        <v>199</v>
      </c>
      <c r="H273" s="24" t="n">
        <f aca="false">L272</f>
        <v>199</v>
      </c>
      <c r="I273" s="24" t="str">
        <f aca="false">IF(H273&gt;=TotalStations,"Terminé",INDEX($A$10:$A$25,MATCH(SUMPRODUCT(($A$10:$A$25&lt;&gt;"")*($D$10:$D$25&lt;=H273))+1,$E$10:$E$25,0)))</f>
        <v>Terminé</v>
      </c>
      <c r="J273" s="24" t="str">
        <f aca="false">IF(H273&gt;=TotalStations,"",INDEX($C$10:$C$25,MATCH(SUMPRODUCT(($A$10:$A$25&lt;&gt;"")*($D$10:$D$25&lt;=H273))+1,$E$10:$E$25,0)))</f>
        <v/>
      </c>
      <c r="K273" s="24" t="n">
        <f aca="false">IF(H273&gt;=TotalStations,0,IF(B273="Dédié",MIN(FLOOR(420/J273,1),(TotalStations-H273)),MIN(2,(TotalStations-H273))))</f>
        <v>0</v>
      </c>
      <c r="L273" s="24" t="n">
        <f aca="false">H273+K273</f>
        <v>199</v>
      </c>
      <c r="M273" s="24" t="n">
        <f aca="false">Q272</f>
        <v>199</v>
      </c>
      <c r="N273" s="24" t="str">
        <f aca="false">IF(M273&gt;=TotalStations,"Terminé",INDEX($A$10:$A$25,MATCH(SUMPRODUCT(($A$10:$A$25&lt;&gt;"")*($D$10:$D$25&lt;=M273))+1,$E$10:$E$25,0)))</f>
        <v>Terminé</v>
      </c>
      <c r="O273" s="24" t="str">
        <f aca="false">IF(M273&gt;=TotalStations,"",INDEX($C$10:$C$25,MATCH(SUMPRODUCT(($A$10:$A$25&lt;&gt;"")*($D$10:$D$25&lt;=M273))+1,$E$10:$E$25,0)))</f>
        <v/>
      </c>
      <c r="P273" s="24" t="n">
        <f aca="false">IF(M273&gt;=TotalStations,0,MIN(FLOOR(420/O273,1),(TotalStations-M273)))</f>
        <v>0</v>
      </c>
      <c r="Q273" s="24" t="n">
        <f aca="false">M273+P273</f>
        <v>199</v>
      </c>
    </row>
    <row r="274" customFormat="false" ht="15" hidden="false" customHeight="true" outlineLevel="0" collapsed="false">
      <c r="A274" s="37" t="n">
        <f aca="false">WORKDAY(A273,1)</f>
        <v>46555</v>
      </c>
      <c r="B274" s="24" t="str">
        <f aca="false">IF(COUNTIF($B$5:$F$5,A274)&gt;0,"Dédié","Normal")</f>
        <v>Normal</v>
      </c>
      <c r="C274" s="24" t="n">
        <f aca="false">G273</f>
        <v>199</v>
      </c>
      <c r="D274" s="24" t="str">
        <f aca="false">IF(C274&gt;=TotalStations,"Terminé",INDEX($A$10:$A$25,MATCH(SUMPRODUCT(($A$10:$A$25&lt;&gt;"")*($D$10:$D$25&lt;=C274))+1,$E$10:$E$25,0)))</f>
        <v>Terminé</v>
      </c>
      <c r="E274" s="24" t="str">
        <f aca="false">IF(C274&gt;=TotalStations,"",INDEX($C$10:$C$25,MATCH(SUMPRODUCT(($A$10:$A$25&lt;&gt;"")*($D$10:$D$25&lt;=C274))+1,$E$10:$E$25,0)))</f>
        <v/>
      </c>
      <c r="F274" s="24" t="n">
        <f aca="false">IF(C274&gt;=TotalStations,0,IF(B274="Dédié",MIN(FLOOR(420/E274,1),(TotalStations-C274)),MIN(1,(TotalStations-C274))))</f>
        <v>0</v>
      </c>
      <c r="G274" s="24" t="n">
        <f aca="false">C274+F274</f>
        <v>199</v>
      </c>
      <c r="H274" s="24" t="n">
        <f aca="false">L273</f>
        <v>199</v>
      </c>
      <c r="I274" s="24" t="str">
        <f aca="false">IF(H274&gt;=TotalStations,"Terminé",INDEX($A$10:$A$25,MATCH(SUMPRODUCT(($A$10:$A$25&lt;&gt;"")*($D$10:$D$25&lt;=H274))+1,$E$10:$E$25,0)))</f>
        <v>Terminé</v>
      </c>
      <c r="J274" s="24" t="str">
        <f aca="false">IF(H274&gt;=TotalStations,"",INDEX($C$10:$C$25,MATCH(SUMPRODUCT(($A$10:$A$25&lt;&gt;"")*($D$10:$D$25&lt;=H274))+1,$E$10:$E$25,0)))</f>
        <v/>
      </c>
      <c r="K274" s="24" t="n">
        <f aca="false">IF(H274&gt;=TotalStations,0,IF(B274="Dédié",MIN(FLOOR(420/J274,1),(TotalStations-H274)),MIN(2,(TotalStations-H274))))</f>
        <v>0</v>
      </c>
      <c r="L274" s="24" t="n">
        <f aca="false">H274+K274</f>
        <v>199</v>
      </c>
      <c r="M274" s="24" t="n">
        <f aca="false">Q273</f>
        <v>199</v>
      </c>
      <c r="N274" s="24" t="str">
        <f aca="false">IF(M274&gt;=TotalStations,"Terminé",INDEX($A$10:$A$25,MATCH(SUMPRODUCT(($A$10:$A$25&lt;&gt;"")*($D$10:$D$25&lt;=M274))+1,$E$10:$E$25,0)))</f>
        <v>Terminé</v>
      </c>
      <c r="O274" s="24" t="str">
        <f aca="false">IF(M274&gt;=TotalStations,"",INDEX($C$10:$C$25,MATCH(SUMPRODUCT(($A$10:$A$25&lt;&gt;"")*($D$10:$D$25&lt;=M274))+1,$E$10:$E$25,0)))</f>
        <v/>
      </c>
      <c r="P274" s="24" t="n">
        <f aca="false">IF(M274&gt;=TotalStations,0,MIN(FLOOR(420/O274,1),(TotalStations-M274)))</f>
        <v>0</v>
      </c>
      <c r="Q274" s="24" t="n">
        <f aca="false">M274+P274</f>
        <v>199</v>
      </c>
    </row>
    <row r="275" customFormat="false" ht="15" hidden="false" customHeight="true" outlineLevel="0" collapsed="false">
      <c r="A275" s="37" t="n">
        <f aca="false">WORKDAY(A274,1)</f>
        <v>46556</v>
      </c>
      <c r="B275" s="24" t="str">
        <f aca="false">IF(COUNTIF($B$5:$F$5,A275)&gt;0,"Dédié","Normal")</f>
        <v>Normal</v>
      </c>
      <c r="C275" s="24" t="n">
        <f aca="false">G274</f>
        <v>199</v>
      </c>
      <c r="D275" s="24" t="str">
        <f aca="false">IF(C275&gt;=TotalStations,"Terminé",INDEX($A$10:$A$25,MATCH(SUMPRODUCT(($A$10:$A$25&lt;&gt;"")*($D$10:$D$25&lt;=C275))+1,$E$10:$E$25,0)))</f>
        <v>Terminé</v>
      </c>
      <c r="E275" s="24" t="str">
        <f aca="false">IF(C275&gt;=TotalStations,"",INDEX($C$10:$C$25,MATCH(SUMPRODUCT(($A$10:$A$25&lt;&gt;"")*($D$10:$D$25&lt;=C275))+1,$E$10:$E$25,0)))</f>
        <v/>
      </c>
      <c r="F275" s="24" t="n">
        <f aca="false">IF(C275&gt;=TotalStations,0,IF(B275="Dédié",MIN(FLOOR(420/E275,1),(TotalStations-C275)),MIN(1,(TotalStations-C275))))</f>
        <v>0</v>
      </c>
      <c r="G275" s="24" t="n">
        <f aca="false">C275+F275</f>
        <v>199</v>
      </c>
      <c r="H275" s="24" t="n">
        <f aca="false">L274</f>
        <v>199</v>
      </c>
      <c r="I275" s="24" t="str">
        <f aca="false">IF(H275&gt;=TotalStations,"Terminé",INDEX($A$10:$A$25,MATCH(SUMPRODUCT(($A$10:$A$25&lt;&gt;"")*($D$10:$D$25&lt;=H275))+1,$E$10:$E$25,0)))</f>
        <v>Terminé</v>
      </c>
      <c r="J275" s="24" t="str">
        <f aca="false">IF(H275&gt;=TotalStations,"",INDEX($C$10:$C$25,MATCH(SUMPRODUCT(($A$10:$A$25&lt;&gt;"")*($D$10:$D$25&lt;=H275))+1,$E$10:$E$25,0)))</f>
        <v/>
      </c>
      <c r="K275" s="24" t="n">
        <f aca="false">IF(H275&gt;=TotalStations,0,IF(B275="Dédié",MIN(FLOOR(420/J275,1),(TotalStations-H275)),MIN(2,(TotalStations-H275))))</f>
        <v>0</v>
      </c>
      <c r="L275" s="24" t="n">
        <f aca="false">H275+K275</f>
        <v>199</v>
      </c>
      <c r="M275" s="24" t="n">
        <f aca="false">Q274</f>
        <v>199</v>
      </c>
      <c r="N275" s="24" t="str">
        <f aca="false">IF(M275&gt;=TotalStations,"Terminé",INDEX($A$10:$A$25,MATCH(SUMPRODUCT(($A$10:$A$25&lt;&gt;"")*($D$10:$D$25&lt;=M275))+1,$E$10:$E$25,0)))</f>
        <v>Terminé</v>
      </c>
      <c r="O275" s="24" t="str">
        <f aca="false">IF(M275&gt;=TotalStations,"",INDEX($C$10:$C$25,MATCH(SUMPRODUCT(($A$10:$A$25&lt;&gt;"")*($D$10:$D$25&lt;=M275))+1,$E$10:$E$25,0)))</f>
        <v/>
      </c>
      <c r="P275" s="24" t="n">
        <f aca="false">IF(M275&gt;=TotalStations,0,MIN(FLOOR(420/O275,1),(TotalStations-M275)))</f>
        <v>0</v>
      </c>
      <c r="Q275" s="24" t="n">
        <f aca="false">M275+P275</f>
        <v>199</v>
      </c>
    </row>
    <row r="276" customFormat="false" ht="15" hidden="false" customHeight="true" outlineLevel="0" collapsed="false">
      <c r="A276" s="37" t="n">
        <f aca="false">WORKDAY(A275,1)</f>
        <v>46559</v>
      </c>
      <c r="B276" s="24" t="str">
        <f aca="false">IF(COUNTIF($B$5:$F$5,A276)&gt;0,"Dédié","Normal")</f>
        <v>Normal</v>
      </c>
      <c r="C276" s="24" t="n">
        <f aca="false">G275</f>
        <v>199</v>
      </c>
      <c r="D276" s="24" t="str">
        <f aca="false">IF(C276&gt;=TotalStations,"Terminé",INDEX($A$10:$A$25,MATCH(SUMPRODUCT(($A$10:$A$25&lt;&gt;"")*($D$10:$D$25&lt;=C276))+1,$E$10:$E$25,0)))</f>
        <v>Terminé</v>
      </c>
      <c r="E276" s="24" t="str">
        <f aca="false">IF(C276&gt;=TotalStations,"",INDEX($C$10:$C$25,MATCH(SUMPRODUCT(($A$10:$A$25&lt;&gt;"")*($D$10:$D$25&lt;=C276))+1,$E$10:$E$25,0)))</f>
        <v/>
      </c>
      <c r="F276" s="24" t="n">
        <f aca="false">IF(C276&gt;=TotalStations,0,IF(B276="Dédié",MIN(FLOOR(420/E276,1),(TotalStations-C276)),MIN(1,(TotalStations-C276))))</f>
        <v>0</v>
      </c>
      <c r="G276" s="24" t="n">
        <f aca="false">C276+F276</f>
        <v>199</v>
      </c>
      <c r="H276" s="24" t="n">
        <f aca="false">L275</f>
        <v>199</v>
      </c>
      <c r="I276" s="24" t="str">
        <f aca="false">IF(H276&gt;=TotalStations,"Terminé",INDEX($A$10:$A$25,MATCH(SUMPRODUCT(($A$10:$A$25&lt;&gt;"")*($D$10:$D$25&lt;=H276))+1,$E$10:$E$25,0)))</f>
        <v>Terminé</v>
      </c>
      <c r="J276" s="24" t="str">
        <f aca="false">IF(H276&gt;=TotalStations,"",INDEX($C$10:$C$25,MATCH(SUMPRODUCT(($A$10:$A$25&lt;&gt;"")*($D$10:$D$25&lt;=H276))+1,$E$10:$E$25,0)))</f>
        <v/>
      </c>
      <c r="K276" s="24" t="n">
        <f aca="false">IF(H276&gt;=TotalStations,0,IF(B276="Dédié",MIN(FLOOR(420/J276,1),(TotalStations-H276)),MIN(2,(TotalStations-H276))))</f>
        <v>0</v>
      </c>
      <c r="L276" s="24" t="n">
        <f aca="false">H276+K276</f>
        <v>199</v>
      </c>
      <c r="M276" s="24" t="n">
        <f aca="false">Q275</f>
        <v>199</v>
      </c>
      <c r="N276" s="24" t="str">
        <f aca="false">IF(M276&gt;=TotalStations,"Terminé",INDEX($A$10:$A$25,MATCH(SUMPRODUCT(($A$10:$A$25&lt;&gt;"")*($D$10:$D$25&lt;=M276))+1,$E$10:$E$25,0)))</f>
        <v>Terminé</v>
      </c>
      <c r="O276" s="24" t="str">
        <f aca="false">IF(M276&gt;=TotalStations,"",INDEX($C$10:$C$25,MATCH(SUMPRODUCT(($A$10:$A$25&lt;&gt;"")*($D$10:$D$25&lt;=M276))+1,$E$10:$E$25,0)))</f>
        <v/>
      </c>
      <c r="P276" s="24" t="n">
        <f aca="false">IF(M276&gt;=TotalStations,0,MIN(FLOOR(420/O276,1),(TotalStations-M276)))</f>
        <v>0</v>
      </c>
      <c r="Q276" s="24" t="n">
        <f aca="false">M276+P276</f>
        <v>199</v>
      </c>
    </row>
    <row r="277" customFormat="false" ht="15" hidden="false" customHeight="true" outlineLevel="0" collapsed="false">
      <c r="A277" s="37" t="n">
        <f aca="false">WORKDAY(A276,1)</f>
        <v>46560</v>
      </c>
      <c r="B277" s="24" t="str">
        <f aca="false">IF(COUNTIF($B$5:$F$5,A277)&gt;0,"Dédié","Normal")</f>
        <v>Normal</v>
      </c>
      <c r="C277" s="24" t="n">
        <f aca="false">G276</f>
        <v>199</v>
      </c>
      <c r="D277" s="24" t="str">
        <f aca="false">IF(C277&gt;=TotalStations,"Terminé",INDEX($A$10:$A$25,MATCH(SUMPRODUCT(($A$10:$A$25&lt;&gt;"")*($D$10:$D$25&lt;=C277))+1,$E$10:$E$25,0)))</f>
        <v>Terminé</v>
      </c>
      <c r="E277" s="24" t="str">
        <f aca="false">IF(C277&gt;=TotalStations,"",INDEX($C$10:$C$25,MATCH(SUMPRODUCT(($A$10:$A$25&lt;&gt;"")*($D$10:$D$25&lt;=C277))+1,$E$10:$E$25,0)))</f>
        <v/>
      </c>
      <c r="F277" s="24" t="n">
        <f aca="false">IF(C277&gt;=TotalStations,0,IF(B277="Dédié",MIN(FLOOR(420/E277,1),(TotalStations-C277)),MIN(1,(TotalStations-C277))))</f>
        <v>0</v>
      </c>
      <c r="G277" s="24" t="n">
        <f aca="false">C277+F277</f>
        <v>199</v>
      </c>
      <c r="H277" s="24" t="n">
        <f aca="false">L276</f>
        <v>199</v>
      </c>
      <c r="I277" s="24" t="str">
        <f aca="false">IF(H277&gt;=TotalStations,"Terminé",INDEX($A$10:$A$25,MATCH(SUMPRODUCT(($A$10:$A$25&lt;&gt;"")*($D$10:$D$25&lt;=H277))+1,$E$10:$E$25,0)))</f>
        <v>Terminé</v>
      </c>
      <c r="J277" s="24" t="str">
        <f aca="false">IF(H277&gt;=TotalStations,"",INDEX($C$10:$C$25,MATCH(SUMPRODUCT(($A$10:$A$25&lt;&gt;"")*($D$10:$D$25&lt;=H277))+1,$E$10:$E$25,0)))</f>
        <v/>
      </c>
      <c r="K277" s="24" t="n">
        <f aca="false">IF(H277&gt;=TotalStations,0,IF(B277="Dédié",MIN(FLOOR(420/J277,1),(TotalStations-H277)),MIN(2,(TotalStations-H277))))</f>
        <v>0</v>
      </c>
      <c r="L277" s="24" t="n">
        <f aca="false">H277+K277</f>
        <v>199</v>
      </c>
      <c r="M277" s="24" t="n">
        <f aca="false">Q276</f>
        <v>199</v>
      </c>
      <c r="N277" s="24" t="str">
        <f aca="false">IF(M277&gt;=TotalStations,"Terminé",INDEX($A$10:$A$25,MATCH(SUMPRODUCT(($A$10:$A$25&lt;&gt;"")*($D$10:$D$25&lt;=M277))+1,$E$10:$E$25,0)))</f>
        <v>Terminé</v>
      </c>
      <c r="O277" s="24" t="str">
        <f aca="false">IF(M277&gt;=TotalStations,"",INDEX($C$10:$C$25,MATCH(SUMPRODUCT(($A$10:$A$25&lt;&gt;"")*($D$10:$D$25&lt;=M277))+1,$E$10:$E$25,0)))</f>
        <v/>
      </c>
      <c r="P277" s="24" t="n">
        <f aca="false">IF(M277&gt;=TotalStations,0,MIN(FLOOR(420/O277,1),(TotalStations-M277)))</f>
        <v>0</v>
      </c>
      <c r="Q277" s="24" t="n">
        <f aca="false">M277+P277</f>
        <v>199</v>
      </c>
    </row>
    <row r="278" customFormat="false" ht="15" hidden="false" customHeight="true" outlineLevel="0" collapsed="false">
      <c r="A278" s="37" t="n">
        <f aca="false">WORKDAY(A277,1)</f>
        <v>46561</v>
      </c>
      <c r="B278" s="24" t="str">
        <f aca="false">IF(COUNTIF($B$5:$F$5,A278)&gt;0,"Dédié","Normal")</f>
        <v>Normal</v>
      </c>
      <c r="C278" s="24" t="n">
        <f aca="false">G277</f>
        <v>199</v>
      </c>
      <c r="D278" s="24" t="str">
        <f aca="false">IF(C278&gt;=TotalStations,"Terminé",INDEX($A$10:$A$25,MATCH(SUMPRODUCT(($A$10:$A$25&lt;&gt;"")*($D$10:$D$25&lt;=C278))+1,$E$10:$E$25,0)))</f>
        <v>Terminé</v>
      </c>
      <c r="E278" s="24" t="str">
        <f aca="false">IF(C278&gt;=TotalStations,"",INDEX($C$10:$C$25,MATCH(SUMPRODUCT(($A$10:$A$25&lt;&gt;"")*($D$10:$D$25&lt;=C278))+1,$E$10:$E$25,0)))</f>
        <v/>
      </c>
      <c r="F278" s="24" t="n">
        <f aca="false">IF(C278&gt;=TotalStations,0,IF(B278="Dédié",MIN(FLOOR(420/E278,1),(TotalStations-C278)),MIN(1,(TotalStations-C278))))</f>
        <v>0</v>
      </c>
      <c r="G278" s="24" t="n">
        <f aca="false">C278+F278</f>
        <v>199</v>
      </c>
      <c r="H278" s="24" t="n">
        <f aca="false">L277</f>
        <v>199</v>
      </c>
      <c r="I278" s="24" t="str">
        <f aca="false">IF(H278&gt;=TotalStations,"Terminé",INDEX($A$10:$A$25,MATCH(SUMPRODUCT(($A$10:$A$25&lt;&gt;"")*($D$10:$D$25&lt;=H278))+1,$E$10:$E$25,0)))</f>
        <v>Terminé</v>
      </c>
      <c r="J278" s="24" t="str">
        <f aca="false">IF(H278&gt;=TotalStations,"",INDEX($C$10:$C$25,MATCH(SUMPRODUCT(($A$10:$A$25&lt;&gt;"")*($D$10:$D$25&lt;=H278))+1,$E$10:$E$25,0)))</f>
        <v/>
      </c>
      <c r="K278" s="24" t="n">
        <f aca="false">IF(H278&gt;=TotalStations,0,IF(B278="Dédié",MIN(FLOOR(420/J278,1),(TotalStations-H278)),MIN(2,(TotalStations-H278))))</f>
        <v>0</v>
      </c>
      <c r="L278" s="24" t="n">
        <f aca="false">H278+K278</f>
        <v>199</v>
      </c>
      <c r="M278" s="24" t="n">
        <f aca="false">Q277</f>
        <v>199</v>
      </c>
      <c r="N278" s="24" t="str">
        <f aca="false">IF(M278&gt;=TotalStations,"Terminé",INDEX($A$10:$A$25,MATCH(SUMPRODUCT(($A$10:$A$25&lt;&gt;"")*($D$10:$D$25&lt;=M278))+1,$E$10:$E$25,0)))</f>
        <v>Terminé</v>
      </c>
      <c r="O278" s="24" t="str">
        <f aca="false">IF(M278&gt;=TotalStations,"",INDEX($C$10:$C$25,MATCH(SUMPRODUCT(($A$10:$A$25&lt;&gt;"")*($D$10:$D$25&lt;=M278))+1,$E$10:$E$25,0)))</f>
        <v/>
      </c>
      <c r="P278" s="24" t="n">
        <f aca="false">IF(M278&gt;=TotalStations,0,MIN(FLOOR(420/O278,1),(TotalStations-M278)))</f>
        <v>0</v>
      </c>
      <c r="Q278" s="24" t="n">
        <f aca="false">M278+P278</f>
        <v>199</v>
      </c>
    </row>
    <row r="279" customFormat="false" ht="15" hidden="false" customHeight="true" outlineLevel="0" collapsed="false">
      <c r="A279" s="37" t="n">
        <f aca="false">WORKDAY(A278,1)</f>
        <v>46562</v>
      </c>
      <c r="B279" s="24" t="str">
        <f aca="false">IF(COUNTIF($B$5:$F$5,A279)&gt;0,"Dédié","Normal")</f>
        <v>Normal</v>
      </c>
      <c r="C279" s="24" t="n">
        <f aca="false">G278</f>
        <v>199</v>
      </c>
      <c r="D279" s="24" t="str">
        <f aca="false">IF(C279&gt;=TotalStations,"Terminé",INDEX($A$10:$A$25,MATCH(SUMPRODUCT(($A$10:$A$25&lt;&gt;"")*($D$10:$D$25&lt;=C279))+1,$E$10:$E$25,0)))</f>
        <v>Terminé</v>
      </c>
      <c r="E279" s="24" t="str">
        <f aca="false">IF(C279&gt;=TotalStations,"",INDEX($C$10:$C$25,MATCH(SUMPRODUCT(($A$10:$A$25&lt;&gt;"")*($D$10:$D$25&lt;=C279))+1,$E$10:$E$25,0)))</f>
        <v/>
      </c>
      <c r="F279" s="24" t="n">
        <f aca="false">IF(C279&gt;=TotalStations,0,IF(B279="Dédié",MIN(FLOOR(420/E279,1),(TotalStations-C279)),MIN(1,(TotalStations-C279))))</f>
        <v>0</v>
      </c>
      <c r="G279" s="24" t="n">
        <f aca="false">C279+F279</f>
        <v>199</v>
      </c>
      <c r="H279" s="24" t="n">
        <f aca="false">L278</f>
        <v>199</v>
      </c>
      <c r="I279" s="24" t="str">
        <f aca="false">IF(H279&gt;=TotalStations,"Terminé",INDEX($A$10:$A$25,MATCH(SUMPRODUCT(($A$10:$A$25&lt;&gt;"")*($D$10:$D$25&lt;=H279))+1,$E$10:$E$25,0)))</f>
        <v>Terminé</v>
      </c>
      <c r="J279" s="24" t="str">
        <f aca="false">IF(H279&gt;=TotalStations,"",INDEX($C$10:$C$25,MATCH(SUMPRODUCT(($A$10:$A$25&lt;&gt;"")*($D$10:$D$25&lt;=H279))+1,$E$10:$E$25,0)))</f>
        <v/>
      </c>
      <c r="K279" s="24" t="n">
        <f aca="false">IF(H279&gt;=TotalStations,0,IF(B279="Dédié",MIN(FLOOR(420/J279,1),(TotalStations-H279)),MIN(2,(TotalStations-H279))))</f>
        <v>0</v>
      </c>
      <c r="L279" s="24" t="n">
        <f aca="false">H279+K279</f>
        <v>199</v>
      </c>
      <c r="M279" s="24" t="n">
        <f aca="false">Q278</f>
        <v>199</v>
      </c>
      <c r="N279" s="24" t="str">
        <f aca="false">IF(M279&gt;=TotalStations,"Terminé",INDEX($A$10:$A$25,MATCH(SUMPRODUCT(($A$10:$A$25&lt;&gt;"")*($D$10:$D$25&lt;=M279))+1,$E$10:$E$25,0)))</f>
        <v>Terminé</v>
      </c>
      <c r="O279" s="24" t="str">
        <f aca="false">IF(M279&gt;=TotalStations,"",INDEX($C$10:$C$25,MATCH(SUMPRODUCT(($A$10:$A$25&lt;&gt;"")*($D$10:$D$25&lt;=M279))+1,$E$10:$E$25,0)))</f>
        <v/>
      </c>
      <c r="P279" s="24" t="n">
        <f aca="false">IF(M279&gt;=TotalStations,0,MIN(FLOOR(420/O279,1),(TotalStations-M279)))</f>
        <v>0</v>
      </c>
      <c r="Q279" s="24" t="n">
        <f aca="false">M279+P279</f>
        <v>199</v>
      </c>
    </row>
    <row r="280" customFormat="false" ht="15" hidden="false" customHeight="true" outlineLevel="0" collapsed="false">
      <c r="A280" s="37" t="n">
        <f aca="false">WORKDAY(A279,1)</f>
        <v>46563</v>
      </c>
      <c r="B280" s="24" t="str">
        <f aca="false">IF(COUNTIF($B$5:$F$5,A280)&gt;0,"Dédié","Normal")</f>
        <v>Normal</v>
      </c>
      <c r="C280" s="24" t="n">
        <f aca="false">G279</f>
        <v>199</v>
      </c>
      <c r="D280" s="24" t="str">
        <f aca="false">IF(C280&gt;=TotalStations,"Terminé",INDEX($A$10:$A$25,MATCH(SUMPRODUCT(($A$10:$A$25&lt;&gt;"")*($D$10:$D$25&lt;=C280))+1,$E$10:$E$25,0)))</f>
        <v>Terminé</v>
      </c>
      <c r="E280" s="24" t="str">
        <f aca="false">IF(C280&gt;=TotalStations,"",INDEX($C$10:$C$25,MATCH(SUMPRODUCT(($A$10:$A$25&lt;&gt;"")*($D$10:$D$25&lt;=C280))+1,$E$10:$E$25,0)))</f>
        <v/>
      </c>
      <c r="F280" s="24" t="n">
        <f aca="false">IF(C280&gt;=TotalStations,0,IF(B280="Dédié",MIN(FLOOR(420/E280,1),(TotalStations-C280)),MIN(1,(TotalStations-C280))))</f>
        <v>0</v>
      </c>
      <c r="G280" s="24" t="n">
        <f aca="false">C280+F280</f>
        <v>199</v>
      </c>
      <c r="H280" s="24" t="n">
        <f aca="false">L279</f>
        <v>199</v>
      </c>
      <c r="I280" s="24" t="str">
        <f aca="false">IF(H280&gt;=TotalStations,"Terminé",INDEX($A$10:$A$25,MATCH(SUMPRODUCT(($A$10:$A$25&lt;&gt;"")*($D$10:$D$25&lt;=H280))+1,$E$10:$E$25,0)))</f>
        <v>Terminé</v>
      </c>
      <c r="J280" s="24" t="str">
        <f aca="false">IF(H280&gt;=TotalStations,"",INDEX($C$10:$C$25,MATCH(SUMPRODUCT(($A$10:$A$25&lt;&gt;"")*($D$10:$D$25&lt;=H280))+1,$E$10:$E$25,0)))</f>
        <v/>
      </c>
      <c r="K280" s="24" t="n">
        <f aca="false">IF(H280&gt;=TotalStations,0,IF(B280="Dédié",MIN(FLOOR(420/J280,1),(TotalStations-H280)),MIN(2,(TotalStations-H280))))</f>
        <v>0</v>
      </c>
      <c r="L280" s="24" t="n">
        <f aca="false">H280+K280</f>
        <v>199</v>
      </c>
      <c r="M280" s="24" t="n">
        <f aca="false">Q279</f>
        <v>199</v>
      </c>
      <c r="N280" s="24" t="str">
        <f aca="false">IF(M280&gt;=TotalStations,"Terminé",INDEX($A$10:$A$25,MATCH(SUMPRODUCT(($A$10:$A$25&lt;&gt;"")*($D$10:$D$25&lt;=M280))+1,$E$10:$E$25,0)))</f>
        <v>Terminé</v>
      </c>
      <c r="O280" s="24" t="str">
        <f aca="false">IF(M280&gt;=TotalStations,"",INDEX($C$10:$C$25,MATCH(SUMPRODUCT(($A$10:$A$25&lt;&gt;"")*($D$10:$D$25&lt;=M280))+1,$E$10:$E$25,0)))</f>
        <v/>
      </c>
      <c r="P280" s="24" t="n">
        <f aca="false">IF(M280&gt;=TotalStations,0,MIN(FLOOR(420/O280,1),(TotalStations-M280)))</f>
        <v>0</v>
      </c>
      <c r="Q280" s="24" t="n">
        <f aca="false">M280+P280</f>
        <v>199</v>
      </c>
    </row>
    <row r="281" customFormat="false" ht="15" hidden="false" customHeight="true" outlineLevel="0" collapsed="false">
      <c r="A281" s="37" t="n">
        <f aca="false">WORKDAY(A280,1)</f>
        <v>46566</v>
      </c>
      <c r="B281" s="24" t="str">
        <f aca="false">IF(COUNTIF($B$5:$F$5,A281)&gt;0,"Dédié","Normal")</f>
        <v>Normal</v>
      </c>
      <c r="C281" s="24" t="n">
        <f aca="false">G280</f>
        <v>199</v>
      </c>
      <c r="D281" s="24" t="str">
        <f aca="false">IF(C281&gt;=TotalStations,"Terminé",INDEX($A$10:$A$25,MATCH(SUMPRODUCT(($A$10:$A$25&lt;&gt;"")*($D$10:$D$25&lt;=C281))+1,$E$10:$E$25,0)))</f>
        <v>Terminé</v>
      </c>
      <c r="E281" s="24" t="str">
        <f aca="false">IF(C281&gt;=TotalStations,"",INDEX($C$10:$C$25,MATCH(SUMPRODUCT(($A$10:$A$25&lt;&gt;"")*($D$10:$D$25&lt;=C281))+1,$E$10:$E$25,0)))</f>
        <v/>
      </c>
      <c r="F281" s="24" t="n">
        <f aca="false">IF(C281&gt;=TotalStations,0,IF(B281="Dédié",MIN(FLOOR(420/E281,1),(TotalStations-C281)),MIN(1,(TotalStations-C281))))</f>
        <v>0</v>
      </c>
      <c r="G281" s="24" t="n">
        <f aca="false">C281+F281</f>
        <v>199</v>
      </c>
      <c r="H281" s="24" t="n">
        <f aca="false">L280</f>
        <v>199</v>
      </c>
      <c r="I281" s="24" t="str">
        <f aca="false">IF(H281&gt;=TotalStations,"Terminé",INDEX($A$10:$A$25,MATCH(SUMPRODUCT(($A$10:$A$25&lt;&gt;"")*($D$10:$D$25&lt;=H281))+1,$E$10:$E$25,0)))</f>
        <v>Terminé</v>
      </c>
      <c r="J281" s="24" t="str">
        <f aca="false">IF(H281&gt;=TotalStations,"",INDEX($C$10:$C$25,MATCH(SUMPRODUCT(($A$10:$A$25&lt;&gt;"")*($D$10:$D$25&lt;=H281))+1,$E$10:$E$25,0)))</f>
        <v/>
      </c>
      <c r="K281" s="24" t="n">
        <f aca="false">IF(H281&gt;=TotalStations,0,IF(B281="Dédié",MIN(FLOOR(420/J281,1),(TotalStations-H281)),MIN(2,(TotalStations-H281))))</f>
        <v>0</v>
      </c>
      <c r="L281" s="24" t="n">
        <f aca="false">H281+K281</f>
        <v>199</v>
      </c>
      <c r="M281" s="24" t="n">
        <f aca="false">Q280</f>
        <v>199</v>
      </c>
      <c r="N281" s="24" t="str">
        <f aca="false">IF(M281&gt;=TotalStations,"Terminé",INDEX($A$10:$A$25,MATCH(SUMPRODUCT(($A$10:$A$25&lt;&gt;"")*($D$10:$D$25&lt;=M281))+1,$E$10:$E$25,0)))</f>
        <v>Terminé</v>
      </c>
      <c r="O281" s="24" t="str">
        <f aca="false">IF(M281&gt;=TotalStations,"",INDEX($C$10:$C$25,MATCH(SUMPRODUCT(($A$10:$A$25&lt;&gt;"")*($D$10:$D$25&lt;=M281))+1,$E$10:$E$25,0)))</f>
        <v/>
      </c>
      <c r="P281" s="24" t="n">
        <f aca="false">IF(M281&gt;=TotalStations,0,MIN(FLOOR(420/O281,1),(TotalStations-M281)))</f>
        <v>0</v>
      </c>
      <c r="Q281" s="24" t="n">
        <f aca="false">M281+P281</f>
        <v>199</v>
      </c>
    </row>
    <row r="282" customFormat="false" ht="15" hidden="false" customHeight="true" outlineLevel="0" collapsed="false">
      <c r="A282" s="37" t="n">
        <f aca="false">WORKDAY(A281,1)</f>
        <v>46567</v>
      </c>
      <c r="B282" s="24" t="str">
        <f aca="false">IF(COUNTIF($B$5:$F$5,A282)&gt;0,"Dédié","Normal")</f>
        <v>Normal</v>
      </c>
      <c r="C282" s="24" t="n">
        <f aca="false">G281</f>
        <v>199</v>
      </c>
      <c r="D282" s="24" t="str">
        <f aca="false">IF(C282&gt;=TotalStations,"Terminé",INDEX($A$10:$A$25,MATCH(SUMPRODUCT(($A$10:$A$25&lt;&gt;"")*($D$10:$D$25&lt;=C282))+1,$E$10:$E$25,0)))</f>
        <v>Terminé</v>
      </c>
      <c r="E282" s="24" t="str">
        <f aca="false">IF(C282&gt;=TotalStations,"",INDEX($C$10:$C$25,MATCH(SUMPRODUCT(($A$10:$A$25&lt;&gt;"")*($D$10:$D$25&lt;=C282))+1,$E$10:$E$25,0)))</f>
        <v/>
      </c>
      <c r="F282" s="24" t="n">
        <f aca="false">IF(C282&gt;=TotalStations,0,IF(B282="Dédié",MIN(FLOOR(420/E282,1),(TotalStations-C282)),MIN(1,(TotalStations-C282))))</f>
        <v>0</v>
      </c>
      <c r="G282" s="24" t="n">
        <f aca="false">C282+F282</f>
        <v>199</v>
      </c>
      <c r="H282" s="24" t="n">
        <f aca="false">L281</f>
        <v>199</v>
      </c>
      <c r="I282" s="24" t="str">
        <f aca="false">IF(H282&gt;=TotalStations,"Terminé",INDEX($A$10:$A$25,MATCH(SUMPRODUCT(($A$10:$A$25&lt;&gt;"")*($D$10:$D$25&lt;=H282))+1,$E$10:$E$25,0)))</f>
        <v>Terminé</v>
      </c>
      <c r="J282" s="24" t="str">
        <f aca="false">IF(H282&gt;=TotalStations,"",INDEX($C$10:$C$25,MATCH(SUMPRODUCT(($A$10:$A$25&lt;&gt;"")*($D$10:$D$25&lt;=H282))+1,$E$10:$E$25,0)))</f>
        <v/>
      </c>
      <c r="K282" s="24" t="n">
        <f aca="false">IF(H282&gt;=TotalStations,0,IF(B282="Dédié",MIN(FLOOR(420/J282,1),(TotalStations-H282)),MIN(2,(TotalStations-H282))))</f>
        <v>0</v>
      </c>
      <c r="L282" s="24" t="n">
        <f aca="false">H282+K282</f>
        <v>199</v>
      </c>
      <c r="M282" s="24" t="n">
        <f aca="false">Q281</f>
        <v>199</v>
      </c>
      <c r="N282" s="24" t="str">
        <f aca="false">IF(M282&gt;=TotalStations,"Terminé",INDEX($A$10:$A$25,MATCH(SUMPRODUCT(($A$10:$A$25&lt;&gt;"")*($D$10:$D$25&lt;=M282))+1,$E$10:$E$25,0)))</f>
        <v>Terminé</v>
      </c>
      <c r="O282" s="24" t="str">
        <f aca="false">IF(M282&gt;=TotalStations,"",INDEX($C$10:$C$25,MATCH(SUMPRODUCT(($A$10:$A$25&lt;&gt;"")*($D$10:$D$25&lt;=M282))+1,$E$10:$E$25,0)))</f>
        <v/>
      </c>
      <c r="P282" s="24" t="n">
        <f aca="false">IF(M282&gt;=TotalStations,0,MIN(FLOOR(420/O282,1),(TotalStations-M282)))</f>
        <v>0</v>
      </c>
      <c r="Q282" s="24" t="n">
        <f aca="false">M282+P282</f>
        <v>199</v>
      </c>
    </row>
    <row r="283" customFormat="false" ht="15" hidden="false" customHeight="true" outlineLevel="0" collapsed="false">
      <c r="A283" s="37" t="n">
        <f aca="false">WORKDAY(A282,1)</f>
        <v>46568</v>
      </c>
      <c r="B283" s="24" t="str">
        <f aca="false">IF(COUNTIF($B$5:$F$5,A283)&gt;0,"Dédié","Normal")</f>
        <v>Normal</v>
      </c>
      <c r="C283" s="24" t="n">
        <f aca="false">G282</f>
        <v>199</v>
      </c>
      <c r="D283" s="24" t="str">
        <f aca="false">IF(C283&gt;=TotalStations,"Terminé",INDEX($A$10:$A$25,MATCH(SUMPRODUCT(($A$10:$A$25&lt;&gt;"")*($D$10:$D$25&lt;=C283))+1,$E$10:$E$25,0)))</f>
        <v>Terminé</v>
      </c>
      <c r="E283" s="24" t="str">
        <f aca="false">IF(C283&gt;=TotalStations,"",INDEX($C$10:$C$25,MATCH(SUMPRODUCT(($A$10:$A$25&lt;&gt;"")*($D$10:$D$25&lt;=C283))+1,$E$10:$E$25,0)))</f>
        <v/>
      </c>
      <c r="F283" s="24" t="n">
        <f aca="false">IF(C283&gt;=TotalStations,0,IF(B283="Dédié",MIN(FLOOR(420/E283,1),(TotalStations-C283)),MIN(1,(TotalStations-C283))))</f>
        <v>0</v>
      </c>
      <c r="G283" s="24" t="n">
        <f aca="false">C283+F283</f>
        <v>199</v>
      </c>
      <c r="H283" s="24" t="n">
        <f aca="false">L282</f>
        <v>199</v>
      </c>
      <c r="I283" s="24" t="str">
        <f aca="false">IF(H283&gt;=TotalStations,"Terminé",INDEX($A$10:$A$25,MATCH(SUMPRODUCT(($A$10:$A$25&lt;&gt;"")*($D$10:$D$25&lt;=H283))+1,$E$10:$E$25,0)))</f>
        <v>Terminé</v>
      </c>
      <c r="J283" s="24" t="str">
        <f aca="false">IF(H283&gt;=TotalStations,"",INDEX($C$10:$C$25,MATCH(SUMPRODUCT(($A$10:$A$25&lt;&gt;"")*($D$10:$D$25&lt;=H283))+1,$E$10:$E$25,0)))</f>
        <v/>
      </c>
      <c r="K283" s="24" t="n">
        <f aca="false">IF(H283&gt;=TotalStations,0,IF(B283="Dédié",MIN(FLOOR(420/J283,1),(TotalStations-H283)),MIN(2,(TotalStations-H283))))</f>
        <v>0</v>
      </c>
      <c r="L283" s="24" t="n">
        <f aca="false">H283+K283</f>
        <v>199</v>
      </c>
      <c r="M283" s="24" t="n">
        <f aca="false">Q282</f>
        <v>199</v>
      </c>
      <c r="N283" s="24" t="str">
        <f aca="false">IF(M283&gt;=TotalStations,"Terminé",INDEX($A$10:$A$25,MATCH(SUMPRODUCT(($A$10:$A$25&lt;&gt;"")*($D$10:$D$25&lt;=M283))+1,$E$10:$E$25,0)))</f>
        <v>Terminé</v>
      </c>
      <c r="O283" s="24" t="str">
        <f aca="false">IF(M283&gt;=TotalStations,"",INDEX($C$10:$C$25,MATCH(SUMPRODUCT(($A$10:$A$25&lt;&gt;"")*($D$10:$D$25&lt;=M283))+1,$E$10:$E$25,0)))</f>
        <v/>
      </c>
      <c r="P283" s="24" t="n">
        <f aca="false">IF(M283&gt;=TotalStations,0,MIN(FLOOR(420/O283,1),(TotalStations-M283)))</f>
        <v>0</v>
      </c>
      <c r="Q283" s="24" t="n">
        <f aca="false">M283+P283</f>
        <v>199</v>
      </c>
    </row>
    <row r="284" customFormat="false" ht="15" hidden="false" customHeight="true" outlineLevel="0" collapsed="false">
      <c r="A284" s="37" t="n">
        <f aca="false">WORKDAY(A283,1)</f>
        <v>46569</v>
      </c>
      <c r="B284" s="24" t="str">
        <f aca="false">IF(COUNTIF($B$5:$F$5,A284)&gt;0,"Dédié","Normal")</f>
        <v>Normal</v>
      </c>
      <c r="C284" s="24" t="n">
        <f aca="false">G283</f>
        <v>199</v>
      </c>
      <c r="D284" s="24" t="str">
        <f aca="false">IF(C284&gt;=TotalStations,"Terminé",INDEX($A$10:$A$25,MATCH(SUMPRODUCT(($A$10:$A$25&lt;&gt;"")*($D$10:$D$25&lt;=C284))+1,$E$10:$E$25,0)))</f>
        <v>Terminé</v>
      </c>
      <c r="E284" s="24" t="str">
        <f aca="false">IF(C284&gt;=TotalStations,"",INDEX($C$10:$C$25,MATCH(SUMPRODUCT(($A$10:$A$25&lt;&gt;"")*($D$10:$D$25&lt;=C284))+1,$E$10:$E$25,0)))</f>
        <v/>
      </c>
      <c r="F284" s="24" t="n">
        <f aca="false">IF(C284&gt;=TotalStations,0,IF(B284="Dédié",MIN(FLOOR(420/E284,1),(TotalStations-C284)),MIN(1,(TotalStations-C284))))</f>
        <v>0</v>
      </c>
      <c r="G284" s="24" t="n">
        <f aca="false">C284+F284</f>
        <v>199</v>
      </c>
      <c r="H284" s="24" t="n">
        <f aca="false">L283</f>
        <v>199</v>
      </c>
      <c r="I284" s="24" t="str">
        <f aca="false">IF(H284&gt;=TotalStations,"Terminé",INDEX($A$10:$A$25,MATCH(SUMPRODUCT(($A$10:$A$25&lt;&gt;"")*($D$10:$D$25&lt;=H284))+1,$E$10:$E$25,0)))</f>
        <v>Terminé</v>
      </c>
      <c r="J284" s="24" t="str">
        <f aca="false">IF(H284&gt;=TotalStations,"",INDEX($C$10:$C$25,MATCH(SUMPRODUCT(($A$10:$A$25&lt;&gt;"")*($D$10:$D$25&lt;=H284))+1,$E$10:$E$25,0)))</f>
        <v/>
      </c>
      <c r="K284" s="24" t="n">
        <f aca="false">IF(H284&gt;=TotalStations,0,IF(B284="Dédié",MIN(FLOOR(420/J284,1),(TotalStations-H284)),MIN(2,(TotalStations-H284))))</f>
        <v>0</v>
      </c>
      <c r="L284" s="24" t="n">
        <f aca="false">H284+K284</f>
        <v>199</v>
      </c>
      <c r="M284" s="24" t="n">
        <f aca="false">Q283</f>
        <v>199</v>
      </c>
      <c r="N284" s="24" t="str">
        <f aca="false">IF(M284&gt;=TotalStations,"Terminé",INDEX($A$10:$A$25,MATCH(SUMPRODUCT(($A$10:$A$25&lt;&gt;"")*($D$10:$D$25&lt;=M284))+1,$E$10:$E$25,0)))</f>
        <v>Terminé</v>
      </c>
      <c r="O284" s="24" t="str">
        <f aca="false">IF(M284&gt;=TotalStations,"",INDEX($C$10:$C$25,MATCH(SUMPRODUCT(($A$10:$A$25&lt;&gt;"")*($D$10:$D$25&lt;=M284))+1,$E$10:$E$25,0)))</f>
        <v/>
      </c>
      <c r="P284" s="24" t="n">
        <f aca="false">IF(M284&gt;=TotalStations,0,MIN(FLOOR(420/O284,1),(TotalStations-M284)))</f>
        <v>0</v>
      </c>
      <c r="Q284" s="24" t="n">
        <f aca="false">M284+P284</f>
        <v>199</v>
      </c>
    </row>
    <row r="285" customFormat="false" ht="15" hidden="false" customHeight="true" outlineLevel="0" collapsed="false">
      <c r="A285" s="37" t="n">
        <f aca="false">WORKDAY(A284,1)</f>
        <v>46570</v>
      </c>
      <c r="B285" s="24" t="str">
        <f aca="false">IF(COUNTIF($B$5:$F$5,A285)&gt;0,"Dédié","Normal")</f>
        <v>Normal</v>
      </c>
      <c r="C285" s="24" t="n">
        <f aca="false">G284</f>
        <v>199</v>
      </c>
      <c r="D285" s="24" t="str">
        <f aca="false">IF(C285&gt;=TotalStations,"Terminé",INDEX($A$10:$A$25,MATCH(SUMPRODUCT(($A$10:$A$25&lt;&gt;"")*($D$10:$D$25&lt;=C285))+1,$E$10:$E$25,0)))</f>
        <v>Terminé</v>
      </c>
      <c r="E285" s="24" t="str">
        <f aca="false">IF(C285&gt;=TotalStations,"",INDEX($C$10:$C$25,MATCH(SUMPRODUCT(($A$10:$A$25&lt;&gt;"")*($D$10:$D$25&lt;=C285))+1,$E$10:$E$25,0)))</f>
        <v/>
      </c>
      <c r="F285" s="24" t="n">
        <f aca="false">IF(C285&gt;=TotalStations,0,IF(B285="Dédié",MIN(FLOOR(420/E285,1),(TotalStations-C285)),MIN(1,(TotalStations-C285))))</f>
        <v>0</v>
      </c>
      <c r="G285" s="24" t="n">
        <f aca="false">C285+F285</f>
        <v>199</v>
      </c>
      <c r="H285" s="24" t="n">
        <f aca="false">L284</f>
        <v>199</v>
      </c>
      <c r="I285" s="24" t="str">
        <f aca="false">IF(H285&gt;=TotalStations,"Terminé",INDEX($A$10:$A$25,MATCH(SUMPRODUCT(($A$10:$A$25&lt;&gt;"")*($D$10:$D$25&lt;=H285))+1,$E$10:$E$25,0)))</f>
        <v>Terminé</v>
      </c>
      <c r="J285" s="24" t="str">
        <f aca="false">IF(H285&gt;=TotalStations,"",INDEX($C$10:$C$25,MATCH(SUMPRODUCT(($A$10:$A$25&lt;&gt;"")*($D$10:$D$25&lt;=H285))+1,$E$10:$E$25,0)))</f>
        <v/>
      </c>
      <c r="K285" s="24" t="n">
        <f aca="false">IF(H285&gt;=TotalStations,0,IF(B285="Dédié",MIN(FLOOR(420/J285,1),(TotalStations-H285)),MIN(2,(TotalStations-H285))))</f>
        <v>0</v>
      </c>
      <c r="L285" s="24" t="n">
        <f aca="false">H285+K285</f>
        <v>199</v>
      </c>
      <c r="M285" s="24" t="n">
        <f aca="false">Q284</f>
        <v>199</v>
      </c>
      <c r="N285" s="24" t="str">
        <f aca="false">IF(M285&gt;=TotalStations,"Terminé",INDEX($A$10:$A$25,MATCH(SUMPRODUCT(($A$10:$A$25&lt;&gt;"")*($D$10:$D$25&lt;=M285))+1,$E$10:$E$25,0)))</f>
        <v>Terminé</v>
      </c>
      <c r="O285" s="24" t="str">
        <f aca="false">IF(M285&gt;=TotalStations,"",INDEX($C$10:$C$25,MATCH(SUMPRODUCT(($A$10:$A$25&lt;&gt;"")*($D$10:$D$25&lt;=M285))+1,$E$10:$E$25,0)))</f>
        <v/>
      </c>
      <c r="P285" s="24" t="n">
        <f aca="false">IF(M285&gt;=TotalStations,0,MIN(FLOOR(420/O285,1),(TotalStations-M285)))</f>
        <v>0</v>
      </c>
      <c r="Q285" s="24" t="n">
        <f aca="false">M285+P285</f>
        <v>199</v>
      </c>
    </row>
    <row r="286" customFormat="false" ht="15" hidden="false" customHeight="true" outlineLevel="0" collapsed="false">
      <c r="A286" s="37" t="n">
        <f aca="false">WORKDAY(A285,1)</f>
        <v>46573</v>
      </c>
      <c r="B286" s="24" t="str">
        <f aca="false">IF(COUNTIF($B$5:$F$5,A286)&gt;0,"Dédié","Normal")</f>
        <v>Normal</v>
      </c>
      <c r="C286" s="24" t="n">
        <f aca="false">G285</f>
        <v>199</v>
      </c>
      <c r="D286" s="24" t="str">
        <f aca="false">IF(C286&gt;=TotalStations,"Terminé",INDEX($A$10:$A$25,MATCH(SUMPRODUCT(($A$10:$A$25&lt;&gt;"")*($D$10:$D$25&lt;=C286))+1,$E$10:$E$25,0)))</f>
        <v>Terminé</v>
      </c>
      <c r="E286" s="24" t="str">
        <f aca="false">IF(C286&gt;=TotalStations,"",INDEX($C$10:$C$25,MATCH(SUMPRODUCT(($A$10:$A$25&lt;&gt;"")*($D$10:$D$25&lt;=C286))+1,$E$10:$E$25,0)))</f>
        <v/>
      </c>
      <c r="F286" s="24" t="n">
        <f aca="false">IF(C286&gt;=TotalStations,0,IF(B286="Dédié",MIN(FLOOR(420/E286,1),(TotalStations-C286)),MIN(1,(TotalStations-C286))))</f>
        <v>0</v>
      </c>
      <c r="G286" s="24" t="n">
        <f aca="false">C286+F286</f>
        <v>199</v>
      </c>
      <c r="H286" s="24" t="n">
        <f aca="false">L285</f>
        <v>199</v>
      </c>
      <c r="I286" s="24" t="str">
        <f aca="false">IF(H286&gt;=TotalStations,"Terminé",INDEX($A$10:$A$25,MATCH(SUMPRODUCT(($A$10:$A$25&lt;&gt;"")*($D$10:$D$25&lt;=H286))+1,$E$10:$E$25,0)))</f>
        <v>Terminé</v>
      </c>
      <c r="J286" s="24" t="str">
        <f aca="false">IF(H286&gt;=TotalStations,"",INDEX($C$10:$C$25,MATCH(SUMPRODUCT(($A$10:$A$25&lt;&gt;"")*($D$10:$D$25&lt;=H286))+1,$E$10:$E$25,0)))</f>
        <v/>
      </c>
      <c r="K286" s="24" t="n">
        <f aca="false">IF(H286&gt;=TotalStations,0,IF(B286="Dédié",MIN(FLOOR(420/J286,1),(TotalStations-H286)),MIN(2,(TotalStations-H286))))</f>
        <v>0</v>
      </c>
      <c r="L286" s="24" t="n">
        <f aca="false">H286+K286</f>
        <v>199</v>
      </c>
      <c r="M286" s="24" t="n">
        <f aca="false">Q285</f>
        <v>199</v>
      </c>
      <c r="N286" s="24" t="str">
        <f aca="false">IF(M286&gt;=TotalStations,"Terminé",INDEX($A$10:$A$25,MATCH(SUMPRODUCT(($A$10:$A$25&lt;&gt;"")*($D$10:$D$25&lt;=M286))+1,$E$10:$E$25,0)))</f>
        <v>Terminé</v>
      </c>
      <c r="O286" s="24" t="str">
        <f aca="false">IF(M286&gt;=TotalStations,"",INDEX($C$10:$C$25,MATCH(SUMPRODUCT(($A$10:$A$25&lt;&gt;"")*($D$10:$D$25&lt;=M286))+1,$E$10:$E$25,0)))</f>
        <v/>
      </c>
      <c r="P286" s="24" t="n">
        <f aca="false">IF(M286&gt;=TotalStations,0,MIN(FLOOR(420/O286,1),(TotalStations-M286)))</f>
        <v>0</v>
      </c>
      <c r="Q286" s="24" t="n">
        <f aca="false">M286+P286</f>
        <v>199</v>
      </c>
    </row>
    <row r="287" customFormat="false" ht="15" hidden="false" customHeight="true" outlineLevel="0" collapsed="false">
      <c r="A287" s="37" t="n">
        <f aca="false">WORKDAY(A286,1)</f>
        <v>46574</v>
      </c>
      <c r="B287" s="24" t="str">
        <f aca="false">IF(COUNTIF($B$5:$F$5,A287)&gt;0,"Dédié","Normal")</f>
        <v>Normal</v>
      </c>
      <c r="C287" s="24" t="n">
        <f aca="false">G286</f>
        <v>199</v>
      </c>
      <c r="D287" s="24" t="str">
        <f aca="false">IF(C287&gt;=TotalStations,"Terminé",INDEX($A$10:$A$25,MATCH(SUMPRODUCT(($A$10:$A$25&lt;&gt;"")*($D$10:$D$25&lt;=C287))+1,$E$10:$E$25,0)))</f>
        <v>Terminé</v>
      </c>
      <c r="E287" s="24" t="str">
        <f aca="false">IF(C287&gt;=TotalStations,"",INDEX($C$10:$C$25,MATCH(SUMPRODUCT(($A$10:$A$25&lt;&gt;"")*($D$10:$D$25&lt;=C287))+1,$E$10:$E$25,0)))</f>
        <v/>
      </c>
      <c r="F287" s="24" t="n">
        <f aca="false">IF(C287&gt;=TotalStations,0,IF(B287="Dédié",MIN(FLOOR(420/E287,1),(TotalStations-C287)),MIN(1,(TotalStations-C287))))</f>
        <v>0</v>
      </c>
      <c r="G287" s="24" t="n">
        <f aca="false">C287+F287</f>
        <v>199</v>
      </c>
      <c r="H287" s="24" t="n">
        <f aca="false">L286</f>
        <v>199</v>
      </c>
      <c r="I287" s="24" t="str">
        <f aca="false">IF(H287&gt;=TotalStations,"Terminé",INDEX($A$10:$A$25,MATCH(SUMPRODUCT(($A$10:$A$25&lt;&gt;"")*($D$10:$D$25&lt;=H287))+1,$E$10:$E$25,0)))</f>
        <v>Terminé</v>
      </c>
      <c r="J287" s="24" t="str">
        <f aca="false">IF(H287&gt;=TotalStations,"",INDEX($C$10:$C$25,MATCH(SUMPRODUCT(($A$10:$A$25&lt;&gt;"")*($D$10:$D$25&lt;=H287))+1,$E$10:$E$25,0)))</f>
        <v/>
      </c>
      <c r="K287" s="24" t="n">
        <f aca="false">IF(H287&gt;=TotalStations,0,IF(B287="Dédié",MIN(FLOOR(420/J287,1),(TotalStations-H287)),MIN(2,(TotalStations-H287))))</f>
        <v>0</v>
      </c>
      <c r="L287" s="24" t="n">
        <f aca="false">H287+K287</f>
        <v>199</v>
      </c>
      <c r="M287" s="24" t="n">
        <f aca="false">Q286</f>
        <v>199</v>
      </c>
      <c r="N287" s="24" t="str">
        <f aca="false">IF(M287&gt;=TotalStations,"Terminé",INDEX($A$10:$A$25,MATCH(SUMPRODUCT(($A$10:$A$25&lt;&gt;"")*($D$10:$D$25&lt;=M287))+1,$E$10:$E$25,0)))</f>
        <v>Terminé</v>
      </c>
      <c r="O287" s="24" t="str">
        <f aca="false">IF(M287&gt;=TotalStations,"",INDEX($C$10:$C$25,MATCH(SUMPRODUCT(($A$10:$A$25&lt;&gt;"")*($D$10:$D$25&lt;=M287))+1,$E$10:$E$25,0)))</f>
        <v/>
      </c>
      <c r="P287" s="24" t="n">
        <f aca="false">IF(M287&gt;=TotalStations,0,MIN(FLOOR(420/O287,1),(TotalStations-M287)))</f>
        <v>0</v>
      </c>
      <c r="Q287" s="24" t="n">
        <f aca="false">M287+P287</f>
        <v>199</v>
      </c>
    </row>
    <row r="288" customFormat="false" ht="15" hidden="false" customHeight="true" outlineLevel="0" collapsed="false">
      <c r="A288" s="37" t="n">
        <f aca="false">WORKDAY(A287,1)</f>
        <v>46575</v>
      </c>
      <c r="B288" s="24" t="str">
        <f aca="false">IF(COUNTIF($B$5:$F$5,A288)&gt;0,"Dédié","Normal")</f>
        <v>Normal</v>
      </c>
      <c r="C288" s="24" t="n">
        <f aca="false">G287</f>
        <v>199</v>
      </c>
      <c r="D288" s="24" t="str">
        <f aca="false">IF(C288&gt;=TotalStations,"Terminé",INDEX($A$10:$A$25,MATCH(SUMPRODUCT(($A$10:$A$25&lt;&gt;"")*($D$10:$D$25&lt;=C288))+1,$E$10:$E$25,0)))</f>
        <v>Terminé</v>
      </c>
      <c r="E288" s="24" t="str">
        <f aca="false">IF(C288&gt;=TotalStations,"",INDEX($C$10:$C$25,MATCH(SUMPRODUCT(($A$10:$A$25&lt;&gt;"")*($D$10:$D$25&lt;=C288))+1,$E$10:$E$25,0)))</f>
        <v/>
      </c>
      <c r="F288" s="24" t="n">
        <f aca="false">IF(C288&gt;=TotalStations,0,IF(B288="Dédié",MIN(FLOOR(420/E288,1),(TotalStations-C288)),MIN(1,(TotalStations-C288))))</f>
        <v>0</v>
      </c>
      <c r="G288" s="24" t="n">
        <f aca="false">C288+F288</f>
        <v>199</v>
      </c>
      <c r="H288" s="24" t="n">
        <f aca="false">L287</f>
        <v>199</v>
      </c>
      <c r="I288" s="24" t="str">
        <f aca="false">IF(H288&gt;=TotalStations,"Terminé",INDEX($A$10:$A$25,MATCH(SUMPRODUCT(($A$10:$A$25&lt;&gt;"")*($D$10:$D$25&lt;=H288))+1,$E$10:$E$25,0)))</f>
        <v>Terminé</v>
      </c>
      <c r="J288" s="24" t="str">
        <f aca="false">IF(H288&gt;=TotalStations,"",INDEX($C$10:$C$25,MATCH(SUMPRODUCT(($A$10:$A$25&lt;&gt;"")*($D$10:$D$25&lt;=H288))+1,$E$10:$E$25,0)))</f>
        <v/>
      </c>
      <c r="K288" s="24" t="n">
        <f aca="false">IF(H288&gt;=TotalStations,0,IF(B288="Dédié",MIN(FLOOR(420/J288,1),(TotalStations-H288)),MIN(2,(TotalStations-H288))))</f>
        <v>0</v>
      </c>
      <c r="L288" s="24" t="n">
        <f aca="false">H288+K288</f>
        <v>199</v>
      </c>
      <c r="M288" s="24" t="n">
        <f aca="false">Q287</f>
        <v>199</v>
      </c>
      <c r="N288" s="24" t="str">
        <f aca="false">IF(M288&gt;=TotalStations,"Terminé",INDEX($A$10:$A$25,MATCH(SUMPRODUCT(($A$10:$A$25&lt;&gt;"")*($D$10:$D$25&lt;=M288))+1,$E$10:$E$25,0)))</f>
        <v>Terminé</v>
      </c>
      <c r="O288" s="24" t="str">
        <f aca="false">IF(M288&gt;=TotalStations,"",INDEX($C$10:$C$25,MATCH(SUMPRODUCT(($A$10:$A$25&lt;&gt;"")*($D$10:$D$25&lt;=M288))+1,$E$10:$E$25,0)))</f>
        <v/>
      </c>
      <c r="P288" s="24" t="n">
        <f aca="false">IF(M288&gt;=TotalStations,0,MIN(FLOOR(420/O288,1),(TotalStations-M288)))</f>
        <v>0</v>
      </c>
      <c r="Q288" s="24" t="n">
        <f aca="false">M288+P288</f>
        <v>199</v>
      </c>
    </row>
    <row r="289" customFormat="false" ht="15" hidden="false" customHeight="true" outlineLevel="0" collapsed="false">
      <c r="A289" s="37" t="n">
        <f aca="false">WORKDAY(A288,1)</f>
        <v>46576</v>
      </c>
      <c r="B289" s="24" t="str">
        <f aca="false">IF(COUNTIF($B$5:$F$5,A289)&gt;0,"Dédié","Normal")</f>
        <v>Normal</v>
      </c>
      <c r="C289" s="24" t="n">
        <f aca="false">G288</f>
        <v>199</v>
      </c>
      <c r="D289" s="24" t="str">
        <f aca="false">IF(C289&gt;=TotalStations,"Terminé",INDEX($A$10:$A$25,MATCH(SUMPRODUCT(($A$10:$A$25&lt;&gt;"")*($D$10:$D$25&lt;=C289))+1,$E$10:$E$25,0)))</f>
        <v>Terminé</v>
      </c>
      <c r="E289" s="24" t="str">
        <f aca="false">IF(C289&gt;=TotalStations,"",INDEX($C$10:$C$25,MATCH(SUMPRODUCT(($A$10:$A$25&lt;&gt;"")*($D$10:$D$25&lt;=C289))+1,$E$10:$E$25,0)))</f>
        <v/>
      </c>
      <c r="F289" s="24" t="n">
        <f aca="false">IF(C289&gt;=TotalStations,0,IF(B289="Dédié",MIN(FLOOR(420/E289,1),(TotalStations-C289)),MIN(1,(TotalStations-C289))))</f>
        <v>0</v>
      </c>
      <c r="G289" s="24" t="n">
        <f aca="false">C289+F289</f>
        <v>199</v>
      </c>
      <c r="H289" s="24" t="n">
        <f aca="false">L288</f>
        <v>199</v>
      </c>
      <c r="I289" s="24" t="str">
        <f aca="false">IF(H289&gt;=TotalStations,"Terminé",INDEX($A$10:$A$25,MATCH(SUMPRODUCT(($A$10:$A$25&lt;&gt;"")*($D$10:$D$25&lt;=H289))+1,$E$10:$E$25,0)))</f>
        <v>Terminé</v>
      </c>
      <c r="J289" s="24" t="str">
        <f aca="false">IF(H289&gt;=TotalStations,"",INDEX($C$10:$C$25,MATCH(SUMPRODUCT(($A$10:$A$25&lt;&gt;"")*($D$10:$D$25&lt;=H289))+1,$E$10:$E$25,0)))</f>
        <v/>
      </c>
      <c r="K289" s="24" t="n">
        <f aca="false">IF(H289&gt;=TotalStations,0,IF(B289="Dédié",MIN(FLOOR(420/J289,1),(TotalStations-H289)),MIN(2,(TotalStations-H289))))</f>
        <v>0</v>
      </c>
      <c r="L289" s="24" t="n">
        <f aca="false">H289+K289</f>
        <v>199</v>
      </c>
      <c r="M289" s="24" t="n">
        <f aca="false">Q288</f>
        <v>199</v>
      </c>
      <c r="N289" s="24" t="str">
        <f aca="false">IF(M289&gt;=TotalStations,"Terminé",INDEX($A$10:$A$25,MATCH(SUMPRODUCT(($A$10:$A$25&lt;&gt;"")*($D$10:$D$25&lt;=M289))+1,$E$10:$E$25,0)))</f>
        <v>Terminé</v>
      </c>
      <c r="O289" s="24" t="str">
        <f aca="false">IF(M289&gt;=TotalStations,"",INDEX($C$10:$C$25,MATCH(SUMPRODUCT(($A$10:$A$25&lt;&gt;"")*($D$10:$D$25&lt;=M289))+1,$E$10:$E$25,0)))</f>
        <v/>
      </c>
      <c r="P289" s="24" t="n">
        <f aca="false">IF(M289&gt;=TotalStations,0,MIN(FLOOR(420/O289,1),(TotalStations-M289)))</f>
        <v>0</v>
      </c>
      <c r="Q289" s="24" t="n">
        <f aca="false">M289+P289</f>
        <v>199</v>
      </c>
    </row>
    <row r="290" customFormat="false" ht="15" hidden="false" customHeight="true" outlineLevel="0" collapsed="false">
      <c r="A290" s="37" t="n">
        <f aca="false">WORKDAY(A289,1)</f>
        <v>46577</v>
      </c>
      <c r="B290" s="24" t="str">
        <f aca="false">IF(COUNTIF($B$5:$F$5,A290)&gt;0,"Dédié","Normal")</f>
        <v>Normal</v>
      </c>
      <c r="C290" s="24" t="n">
        <f aca="false">G289</f>
        <v>199</v>
      </c>
      <c r="D290" s="24" t="str">
        <f aca="false">IF(C290&gt;=TotalStations,"Terminé",INDEX($A$10:$A$25,MATCH(SUMPRODUCT(($A$10:$A$25&lt;&gt;"")*($D$10:$D$25&lt;=C290))+1,$E$10:$E$25,0)))</f>
        <v>Terminé</v>
      </c>
      <c r="E290" s="24" t="str">
        <f aca="false">IF(C290&gt;=TotalStations,"",INDEX($C$10:$C$25,MATCH(SUMPRODUCT(($A$10:$A$25&lt;&gt;"")*($D$10:$D$25&lt;=C290))+1,$E$10:$E$25,0)))</f>
        <v/>
      </c>
      <c r="F290" s="24" t="n">
        <f aca="false">IF(C290&gt;=TotalStations,0,IF(B290="Dédié",MIN(FLOOR(420/E290,1),(TotalStations-C290)),MIN(1,(TotalStations-C290))))</f>
        <v>0</v>
      </c>
      <c r="G290" s="24" t="n">
        <f aca="false">C290+F290</f>
        <v>199</v>
      </c>
      <c r="H290" s="24" t="n">
        <f aca="false">L289</f>
        <v>199</v>
      </c>
      <c r="I290" s="24" t="str">
        <f aca="false">IF(H290&gt;=TotalStations,"Terminé",INDEX($A$10:$A$25,MATCH(SUMPRODUCT(($A$10:$A$25&lt;&gt;"")*($D$10:$D$25&lt;=H290))+1,$E$10:$E$25,0)))</f>
        <v>Terminé</v>
      </c>
      <c r="J290" s="24" t="str">
        <f aca="false">IF(H290&gt;=TotalStations,"",INDEX($C$10:$C$25,MATCH(SUMPRODUCT(($A$10:$A$25&lt;&gt;"")*($D$10:$D$25&lt;=H290))+1,$E$10:$E$25,0)))</f>
        <v/>
      </c>
      <c r="K290" s="24" t="n">
        <f aca="false">IF(H290&gt;=TotalStations,0,IF(B290="Dédié",MIN(FLOOR(420/J290,1),(TotalStations-H290)),MIN(2,(TotalStations-H290))))</f>
        <v>0</v>
      </c>
      <c r="L290" s="24" t="n">
        <f aca="false">H290+K290</f>
        <v>199</v>
      </c>
      <c r="M290" s="24" t="n">
        <f aca="false">Q289</f>
        <v>199</v>
      </c>
      <c r="N290" s="24" t="str">
        <f aca="false">IF(M290&gt;=TotalStations,"Terminé",INDEX($A$10:$A$25,MATCH(SUMPRODUCT(($A$10:$A$25&lt;&gt;"")*($D$10:$D$25&lt;=M290))+1,$E$10:$E$25,0)))</f>
        <v>Terminé</v>
      </c>
      <c r="O290" s="24" t="str">
        <f aca="false">IF(M290&gt;=TotalStations,"",INDEX($C$10:$C$25,MATCH(SUMPRODUCT(($A$10:$A$25&lt;&gt;"")*($D$10:$D$25&lt;=M290))+1,$E$10:$E$25,0)))</f>
        <v/>
      </c>
      <c r="P290" s="24" t="n">
        <f aca="false">IF(M290&gt;=TotalStations,0,MIN(FLOOR(420/O290,1),(TotalStations-M290)))</f>
        <v>0</v>
      </c>
      <c r="Q290" s="24" t="n">
        <f aca="false">M290+P290</f>
        <v>199</v>
      </c>
    </row>
    <row r="291" customFormat="false" ht="15" hidden="false" customHeight="true" outlineLevel="0" collapsed="false">
      <c r="A291" s="37" t="n">
        <f aca="false">WORKDAY(A290,1)</f>
        <v>46580</v>
      </c>
      <c r="B291" s="24" t="str">
        <f aca="false">IF(COUNTIF($B$5:$F$5,A291)&gt;0,"Dédié","Normal")</f>
        <v>Normal</v>
      </c>
      <c r="C291" s="24" t="n">
        <f aca="false">G290</f>
        <v>199</v>
      </c>
      <c r="D291" s="24" t="str">
        <f aca="false">IF(C291&gt;=TotalStations,"Terminé",INDEX($A$10:$A$25,MATCH(SUMPRODUCT(($A$10:$A$25&lt;&gt;"")*($D$10:$D$25&lt;=C291))+1,$E$10:$E$25,0)))</f>
        <v>Terminé</v>
      </c>
      <c r="E291" s="24" t="str">
        <f aca="false">IF(C291&gt;=TotalStations,"",INDEX($C$10:$C$25,MATCH(SUMPRODUCT(($A$10:$A$25&lt;&gt;"")*($D$10:$D$25&lt;=C291))+1,$E$10:$E$25,0)))</f>
        <v/>
      </c>
      <c r="F291" s="24" t="n">
        <f aca="false">IF(C291&gt;=TotalStations,0,IF(B291="Dédié",MIN(FLOOR(420/E291,1),(TotalStations-C291)),MIN(1,(TotalStations-C291))))</f>
        <v>0</v>
      </c>
      <c r="G291" s="24" t="n">
        <f aca="false">C291+F291</f>
        <v>199</v>
      </c>
      <c r="H291" s="24" t="n">
        <f aca="false">L290</f>
        <v>199</v>
      </c>
      <c r="I291" s="24" t="str">
        <f aca="false">IF(H291&gt;=TotalStations,"Terminé",INDEX($A$10:$A$25,MATCH(SUMPRODUCT(($A$10:$A$25&lt;&gt;"")*($D$10:$D$25&lt;=H291))+1,$E$10:$E$25,0)))</f>
        <v>Terminé</v>
      </c>
      <c r="J291" s="24" t="str">
        <f aca="false">IF(H291&gt;=TotalStations,"",INDEX($C$10:$C$25,MATCH(SUMPRODUCT(($A$10:$A$25&lt;&gt;"")*($D$10:$D$25&lt;=H291))+1,$E$10:$E$25,0)))</f>
        <v/>
      </c>
      <c r="K291" s="24" t="n">
        <f aca="false">IF(H291&gt;=TotalStations,0,IF(B291="Dédié",MIN(FLOOR(420/J291,1),(TotalStations-H291)),MIN(2,(TotalStations-H291))))</f>
        <v>0</v>
      </c>
      <c r="L291" s="24" t="n">
        <f aca="false">H291+K291</f>
        <v>199</v>
      </c>
      <c r="M291" s="24" t="n">
        <f aca="false">Q290</f>
        <v>199</v>
      </c>
      <c r="N291" s="24" t="str">
        <f aca="false">IF(M291&gt;=TotalStations,"Terminé",INDEX($A$10:$A$25,MATCH(SUMPRODUCT(($A$10:$A$25&lt;&gt;"")*($D$10:$D$25&lt;=M291))+1,$E$10:$E$25,0)))</f>
        <v>Terminé</v>
      </c>
      <c r="O291" s="24" t="str">
        <f aca="false">IF(M291&gt;=TotalStations,"",INDEX($C$10:$C$25,MATCH(SUMPRODUCT(($A$10:$A$25&lt;&gt;"")*($D$10:$D$25&lt;=M291))+1,$E$10:$E$25,0)))</f>
        <v/>
      </c>
      <c r="P291" s="24" t="n">
        <f aca="false">IF(M291&gt;=TotalStations,0,MIN(FLOOR(420/O291,1),(TotalStations-M291)))</f>
        <v>0</v>
      </c>
      <c r="Q291" s="24" t="n">
        <f aca="false">M291+P291</f>
        <v>199</v>
      </c>
    </row>
    <row r="292" customFormat="false" ht="15" hidden="false" customHeight="true" outlineLevel="0" collapsed="false">
      <c r="A292" s="37" t="n">
        <f aca="false">WORKDAY(A291,1)</f>
        <v>46581</v>
      </c>
      <c r="B292" s="24" t="str">
        <f aca="false">IF(COUNTIF($B$5:$F$5,A292)&gt;0,"Dédié","Normal")</f>
        <v>Normal</v>
      </c>
      <c r="C292" s="24" t="n">
        <f aca="false">G291</f>
        <v>199</v>
      </c>
      <c r="D292" s="24" t="str">
        <f aca="false">IF(C292&gt;=TotalStations,"Terminé",INDEX($A$10:$A$25,MATCH(SUMPRODUCT(($A$10:$A$25&lt;&gt;"")*($D$10:$D$25&lt;=C292))+1,$E$10:$E$25,0)))</f>
        <v>Terminé</v>
      </c>
      <c r="E292" s="24" t="str">
        <f aca="false">IF(C292&gt;=TotalStations,"",INDEX($C$10:$C$25,MATCH(SUMPRODUCT(($A$10:$A$25&lt;&gt;"")*($D$10:$D$25&lt;=C292))+1,$E$10:$E$25,0)))</f>
        <v/>
      </c>
      <c r="F292" s="24" t="n">
        <f aca="false">IF(C292&gt;=TotalStations,0,IF(B292="Dédié",MIN(FLOOR(420/E292,1),(TotalStations-C292)),MIN(1,(TotalStations-C292))))</f>
        <v>0</v>
      </c>
      <c r="G292" s="24" t="n">
        <f aca="false">C292+F292</f>
        <v>199</v>
      </c>
      <c r="H292" s="24" t="n">
        <f aca="false">L291</f>
        <v>199</v>
      </c>
      <c r="I292" s="24" t="str">
        <f aca="false">IF(H292&gt;=TotalStations,"Terminé",INDEX($A$10:$A$25,MATCH(SUMPRODUCT(($A$10:$A$25&lt;&gt;"")*($D$10:$D$25&lt;=H292))+1,$E$10:$E$25,0)))</f>
        <v>Terminé</v>
      </c>
      <c r="J292" s="24" t="str">
        <f aca="false">IF(H292&gt;=TotalStations,"",INDEX($C$10:$C$25,MATCH(SUMPRODUCT(($A$10:$A$25&lt;&gt;"")*($D$10:$D$25&lt;=H292))+1,$E$10:$E$25,0)))</f>
        <v/>
      </c>
      <c r="K292" s="24" t="n">
        <f aca="false">IF(H292&gt;=TotalStations,0,IF(B292="Dédié",MIN(FLOOR(420/J292,1),(TotalStations-H292)),MIN(2,(TotalStations-H292))))</f>
        <v>0</v>
      </c>
      <c r="L292" s="24" t="n">
        <f aca="false">H292+K292</f>
        <v>199</v>
      </c>
      <c r="M292" s="24" t="n">
        <f aca="false">Q291</f>
        <v>199</v>
      </c>
      <c r="N292" s="24" t="str">
        <f aca="false">IF(M292&gt;=TotalStations,"Terminé",INDEX($A$10:$A$25,MATCH(SUMPRODUCT(($A$10:$A$25&lt;&gt;"")*($D$10:$D$25&lt;=M292))+1,$E$10:$E$25,0)))</f>
        <v>Terminé</v>
      </c>
      <c r="O292" s="24" t="str">
        <f aca="false">IF(M292&gt;=TotalStations,"",INDEX($C$10:$C$25,MATCH(SUMPRODUCT(($A$10:$A$25&lt;&gt;"")*($D$10:$D$25&lt;=M292))+1,$E$10:$E$25,0)))</f>
        <v/>
      </c>
      <c r="P292" s="24" t="n">
        <f aca="false">IF(M292&gt;=TotalStations,0,MIN(FLOOR(420/O292,1),(TotalStations-M292)))</f>
        <v>0</v>
      </c>
      <c r="Q292" s="24" t="n">
        <f aca="false">M292+P292</f>
        <v>199</v>
      </c>
    </row>
    <row r="293" customFormat="false" ht="15" hidden="false" customHeight="true" outlineLevel="0" collapsed="false">
      <c r="A293" s="37" t="n">
        <f aca="false">WORKDAY(A292,1)</f>
        <v>46582</v>
      </c>
      <c r="B293" s="24" t="str">
        <f aca="false">IF(COUNTIF($B$5:$F$5,A293)&gt;0,"Dédié","Normal")</f>
        <v>Normal</v>
      </c>
      <c r="C293" s="24" t="n">
        <f aca="false">G292</f>
        <v>199</v>
      </c>
      <c r="D293" s="24" t="str">
        <f aca="false">IF(C293&gt;=TotalStations,"Terminé",INDEX($A$10:$A$25,MATCH(SUMPRODUCT(($A$10:$A$25&lt;&gt;"")*($D$10:$D$25&lt;=C293))+1,$E$10:$E$25,0)))</f>
        <v>Terminé</v>
      </c>
      <c r="E293" s="24" t="str">
        <f aca="false">IF(C293&gt;=TotalStations,"",INDEX($C$10:$C$25,MATCH(SUMPRODUCT(($A$10:$A$25&lt;&gt;"")*($D$10:$D$25&lt;=C293))+1,$E$10:$E$25,0)))</f>
        <v/>
      </c>
      <c r="F293" s="24" t="n">
        <f aca="false">IF(C293&gt;=TotalStations,0,IF(B293="Dédié",MIN(FLOOR(420/E293,1),(TotalStations-C293)),MIN(1,(TotalStations-C293))))</f>
        <v>0</v>
      </c>
      <c r="G293" s="24" t="n">
        <f aca="false">C293+F293</f>
        <v>199</v>
      </c>
      <c r="H293" s="24" t="n">
        <f aca="false">L292</f>
        <v>199</v>
      </c>
      <c r="I293" s="24" t="str">
        <f aca="false">IF(H293&gt;=TotalStations,"Terminé",INDEX($A$10:$A$25,MATCH(SUMPRODUCT(($A$10:$A$25&lt;&gt;"")*($D$10:$D$25&lt;=H293))+1,$E$10:$E$25,0)))</f>
        <v>Terminé</v>
      </c>
      <c r="J293" s="24" t="str">
        <f aca="false">IF(H293&gt;=TotalStations,"",INDEX($C$10:$C$25,MATCH(SUMPRODUCT(($A$10:$A$25&lt;&gt;"")*($D$10:$D$25&lt;=H293))+1,$E$10:$E$25,0)))</f>
        <v/>
      </c>
      <c r="K293" s="24" t="n">
        <f aca="false">IF(H293&gt;=TotalStations,0,IF(B293="Dédié",MIN(FLOOR(420/J293,1),(TotalStations-H293)),MIN(2,(TotalStations-H293))))</f>
        <v>0</v>
      </c>
      <c r="L293" s="24" t="n">
        <f aca="false">H293+K293</f>
        <v>199</v>
      </c>
      <c r="M293" s="24" t="n">
        <f aca="false">Q292</f>
        <v>199</v>
      </c>
      <c r="N293" s="24" t="str">
        <f aca="false">IF(M293&gt;=TotalStations,"Terminé",INDEX($A$10:$A$25,MATCH(SUMPRODUCT(($A$10:$A$25&lt;&gt;"")*($D$10:$D$25&lt;=M293))+1,$E$10:$E$25,0)))</f>
        <v>Terminé</v>
      </c>
      <c r="O293" s="24" t="str">
        <f aca="false">IF(M293&gt;=TotalStations,"",INDEX($C$10:$C$25,MATCH(SUMPRODUCT(($A$10:$A$25&lt;&gt;"")*($D$10:$D$25&lt;=M293))+1,$E$10:$E$25,0)))</f>
        <v/>
      </c>
      <c r="P293" s="24" t="n">
        <f aca="false">IF(M293&gt;=TotalStations,0,MIN(FLOOR(420/O293,1),(TotalStations-M293)))</f>
        <v>0</v>
      </c>
      <c r="Q293" s="24" t="n">
        <f aca="false">M293+P293</f>
        <v>199</v>
      </c>
    </row>
    <row r="294" customFormat="false" ht="15" hidden="false" customHeight="true" outlineLevel="0" collapsed="false">
      <c r="A294" s="37" t="n">
        <f aca="false">WORKDAY(A293,1)</f>
        <v>46583</v>
      </c>
      <c r="B294" s="24" t="str">
        <f aca="false">IF(COUNTIF($B$5:$F$5,A294)&gt;0,"Dédié","Normal")</f>
        <v>Normal</v>
      </c>
      <c r="C294" s="24" t="n">
        <f aca="false">G293</f>
        <v>199</v>
      </c>
      <c r="D294" s="24" t="str">
        <f aca="false">IF(C294&gt;=TotalStations,"Terminé",INDEX($A$10:$A$25,MATCH(SUMPRODUCT(($A$10:$A$25&lt;&gt;"")*($D$10:$D$25&lt;=C294))+1,$E$10:$E$25,0)))</f>
        <v>Terminé</v>
      </c>
      <c r="E294" s="24" t="str">
        <f aca="false">IF(C294&gt;=TotalStations,"",INDEX($C$10:$C$25,MATCH(SUMPRODUCT(($A$10:$A$25&lt;&gt;"")*($D$10:$D$25&lt;=C294))+1,$E$10:$E$25,0)))</f>
        <v/>
      </c>
      <c r="F294" s="24" t="n">
        <f aca="false">IF(C294&gt;=TotalStations,0,IF(B294="Dédié",MIN(FLOOR(420/E294,1),(TotalStations-C294)),MIN(1,(TotalStations-C294))))</f>
        <v>0</v>
      </c>
      <c r="G294" s="24" t="n">
        <f aca="false">C294+F294</f>
        <v>199</v>
      </c>
      <c r="H294" s="24" t="n">
        <f aca="false">L293</f>
        <v>199</v>
      </c>
      <c r="I294" s="24" t="str">
        <f aca="false">IF(H294&gt;=TotalStations,"Terminé",INDEX($A$10:$A$25,MATCH(SUMPRODUCT(($A$10:$A$25&lt;&gt;"")*($D$10:$D$25&lt;=H294))+1,$E$10:$E$25,0)))</f>
        <v>Terminé</v>
      </c>
      <c r="J294" s="24" t="str">
        <f aca="false">IF(H294&gt;=TotalStations,"",INDEX($C$10:$C$25,MATCH(SUMPRODUCT(($A$10:$A$25&lt;&gt;"")*($D$10:$D$25&lt;=H294))+1,$E$10:$E$25,0)))</f>
        <v/>
      </c>
      <c r="K294" s="24" t="n">
        <f aca="false">IF(H294&gt;=TotalStations,0,IF(B294="Dédié",MIN(FLOOR(420/J294,1),(TotalStations-H294)),MIN(2,(TotalStations-H294))))</f>
        <v>0</v>
      </c>
      <c r="L294" s="24" t="n">
        <f aca="false">H294+K294</f>
        <v>199</v>
      </c>
      <c r="M294" s="24" t="n">
        <f aca="false">Q293</f>
        <v>199</v>
      </c>
      <c r="N294" s="24" t="str">
        <f aca="false">IF(M294&gt;=TotalStations,"Terminé",INDEX($A$10:$A$25,MATCH(SUMPRODUCT(($A$10:$A$25&lt;&gt;"")*($D$10:$D$25&lt;=M294))+1,$E$10:$E$25,0)))</f>
        <v>Terminé</v>
      </c>
      <c r="O294" s="24" t="str">
        <f aca="false">IF(M294&gt;=TotalStations,"",INDEX($C$10:$C$25,MATCH(SUMPRODUCT(($A$10:$A$25&lt;&gt;"")*($D$10:$D$25&lt;=M294))+1,$E$10:$E$25,0)))</f>
        <v/>
      </c>
      <c r="P294" s="24" t="n">
        <f aca="false">IF(M294&gt;=TotalStations,0,MIN(FLOOR(420/O294,1),(TotalStations-M294)))</f>
        <v>0</v>
      </c>
      <c r="Q294" s="24" t="n">
        <f aca="false">M294+P294</f>
        <v>199</v>
      </c>
    </row>
    <row r="295" customFormat="false" ht="15" hidden="false" customHeight="true" outlineLevel="0" collapsed="false">
      <c r="A295" s="37" t="n">
        <f aca="false">WORKDAY(A294,1)</f>
        <v>46584</v>
      </c>
      <c r="B295" s="24" t="str">
        <f aca="false">IF(COUNTIF($B$5:$F$5,A295)&gt;0,"Dédié","Normal")</f>
        <v>Normal</v>
      </c>
      <c r="C295" s="24" t="n">
        <f aca="false">G294</f>
        <v>199</v>
      </c>
      <c r="D295" s="24" t="str">
        <f aca="false">IF(C295&gt;=TotalStations,"Terminé",INDEX($A$10:$A$25,MATCH(SUMPRODUCT(($A$10:$A$25&lt;&gt;"")*($D$10:$D$25&lt;=C295))+1,$E$10:$E$25,0)))</f>
        <v>Terminé</v>
      </c>
      <c r="E295" s="24" t="str">
        <f aca="false">IF(C295&gt;=TotalStations,"",INDEX($C$10:$C$25,MATCH(SUMPRODUCT(($A$10:$A$25&lt;&gt;"")*($D$10:$D$25&lt;=C295))+1,$E$10:$E$25,0)))</f>
        <v/>
      </c>
      <c r="F295" s="24" t="n">
        <f aca="false">IF(C295&gt;=TotalStations,0,IF(B295="Dédié",MIN(FLOOR(420/E295,1),(TotalStations-C295)),MIN(1,(TotalStations-C295))))</f>
        <v>0</v>
      </c>
      <c r="G295" s="24" t="n">
        <f aca="false">C295+F295</f>
        <v>199</v>
      </c>
      <c r="H295" s="24" t="n">
        <f aca="false">L294</f>
        <v>199</v>
      </c>
      <c r="I295" s="24" t="str">
        <f aca="false">IF(H295&gt;=TotalStations,"Terminé",INDEX($A$10:$A$25,MATCH(SUMPRODUCT(($A$10:$A$25&lt;&gt;"")*($D$10:$D$25&lt;=H295))+1,$E$10:$E$25,0)))</f>
        <v>Terminé</v>
      </c>
      <c r="J295" s="24" t="str">
        <f aca="false">IF(H295&gt;=TotalStations,"",INDEX($C$10:$C$25,MATCH(SUMPRODUCT(($A$10:$A$25&lt;&gt;"")*($D$10:$D$25&lt;=H295))+1,$E$10:$E$25,0)))</f>
        <v/>
      </c>
      <c r="K295" s="24" t="n">
        <f aca="false">IF(H295&gt;=TotalStations,0,IF(B295="Dédié",MIN(FLOOR(420/J295,1),(TotalStations-H295)),MIN(2,(TotalStations-H295))))</f>
        <v>0</v>
      </c>
      <c r="L295" s="24" t="n">
        <f aca="false">H295+K295</f>
        <v>199</v>
      </c>
      <c r="M295" s="24" t="n">
        <f aca="false">Q294</f>
        <v>199</v>
      </c>
      <c r="N295" s="24" t="str">
        <f aca="false">IF(M295&gt;=TotalStations,"Terminé",INDEX($A$10:$A$25,MATCH(SUMPRODUCT(($A$10:$A$25&lt;&gt;"")*($D$10:$D$25&lt;=M295))+1,$E$10:$E$25,0)))</f>
        <v>Terminé</v>
      </c>
      <c r="O295" s="24" t="str">
        <f aca="false">IF(M295&gt;=TotalStations,"",INDEX($C$10:$C$25,MATCH(SUMPRODUCT(($A$10:$A$25&lt;&gt;"")*($D$10:$D$25&lt;=M295))+1,$E$10:$E$25,0)))</f>
        <v/>
      </c>
      <c r="P295" s="24" t="n">
        <f aca="false">IF(M295&gt;=TotalStations,0,MIN(FLOOR(420/O295,1),(TotalStations-M295)))</f>
        <v>0</v>
      </c>
      <c r="Q295" s="24" t="n">
        <f aca="false">M295+P295</f>
        <v>199</v>
      </c>
    </row>
    <row r="296" customFormat="false" ht="15" hidden="false" customHeight="true" outlineLevel="0" collapsed="false">
      <c r="A296" s="37" t="n">
        <f aca="false">WORKDAY(A295,1)</f>
        <v>46587</v>
      </c>
      <c r="B296" s="24" t="str">
        <f aca="false">IF(COUNTIF($B$5:$F$5,A296)&gt;0,"Dédié","Normal")</f>
        <v>Normal</v>
      </c>
      <c r="C296" s="24" t="n">
        <f aca="false">G295</f>
        <v>199</v>
      </c>
      <c r="D296" s="24" t="str">
        <f aca="false">IF(C296&gt;=TotalStations,"Terminé",INDEX($A$10:$A$25,MATCH(SUMPRODUCT(($A$10:$A$25&lt;&gt;"")*($D$10:$D$25&lt;=C296))+1,$E$10:$E$25,0)))</f>
        <v>Terminé</v>
      </c>
      <c r="E296" s="24" t="str">
        <f aca="false">IF(C296&gt;=TotalStations,"",INDEX($C$10:$C$25,MATCH(SUMPRODUCT(($A$10:$A$25&lt;&gt;"")*($D$10:$D$25&lt;=C296))+1,$E$10:$E$25,0)))</f>
        <v/>
      </c>
      <c r="F296" s="24" t="n">
        <f aca="false">IF(C296&gt;=TotalStations,0,IF(B296="Dédié",MIN(FLOOR(420/E296,1),(TotalStations-C296)),MIN(1,(TotalStations-C296))))</f>
        <v>0</v>
      </c>
      <c r="G296" s="24" t="n">
        <f aca="false">C296+F296</f>
        <v>199</v>
      </c>
      <c r="H296" s="24" t="n">
        <f aca="false">L295</f>
        <v>199</v>
      </c>
      <c r="I296" s="24" t="str">
        <f aca="false">IF(H296&gt;=TotalStations,"Terminé",INDEX($A$10:$A$25,MATCH(SUMPRODUCT(($A$10:$A$25&lt;&gt;"")*($D$10:$D$25&lt;=H296))+1,$E$10:$E$25,0)))</f>
        <v>Terminé</v>
      </c>
      <c r="J296" s="24" t="str">
        <f aca="false">IF(H296&gt;=TotalStations,"",INDEX($C$10:$C$25,MATCH(SUMPRODUCT(($A$10:$A$25&lt;&gt;"")*($D$10:$D$25&lt;=H296))+1,$E$10:$E$25,0)))</f>
        <v/>
      </c>
      <c r="K296" s="24" t="n">
        <f aca="false">IF(H296&gt;=TotalStations,0,IF(B296="Dédié",MIN(FLOOR(420/J296,1),(TotalStations-H296)),MIN(2,(TotalStations-H296))))</f>
        <v>0</v>
      </c>
      <c r="L296" s="24" t="n">
        <f aca="false">H296+K296</f>
        <v>199</v>
      </c>
      <c r="M296" s="24" t="n">
        <f aca="false">Q295</f>
        <v>199</v>
      </c>
      <c r="N296" s="24" t="str">
        <f aca="false">IF(M296&gt;=TotalStations,"Terminé",INDEX($A$10:$A$25,MATCH(SUMPRODUCT(($A$10:$A$25&lt;&gt;"")*($D$10:$D$25&lt;=M296))+1,$E$10:$E$25,0)))</f>
        <v>Terminé</v>
      </c>
      <c r="O296" s="24" t="str">
        <f aca="false">IF(M296&gt;=TotalStations,"",INDEX($C$10:$C$25,MATCH(SUMPRODUCT(($A$10:$A$25&lt;&gt;"")*($D$10:$D$25&lt;=M296))+1,$E$10:$E$25,0)))</f>
        <v/>
      </c>
      <c r="P296" s="24" t="n">
        <f aca="false">IF(M296&gt;=TotalStations,0,MIN(FLOOR(420/O296,1),(TotalStations-M296)))</f>
        <v>0</v>
      </c>
      <c r="Q296" s="24" t="n">
        <f aca="false">M296+P296</f>
        <v>199</v>
      </c>
    </row>
    <row r="297" customFormat="false" ht="15" hidden="false" customHeight="true" outlineLevel="0" collapsed="false">
      <c r="A297" s="37" t="n">
        <f aca="false">WORKDAY(A296,1)</f>
        <v>46588</v>
      </c>
      <c r="B297" s="24" t="str">
        <f aca="false">IF(COUNTIF($B$5:$F$5,A297)&gt;0,"Dédié","Normal")</f>
        <v>Normal</v>
      </c>
      <c r="C297" s="24" t="n">
        <f aca="false">G296</f>
        <v>199</v>
      </c>
      <c r="D297" s="24" t="str">
        <f aca="false">IF(C297&gt;=TotalStations,"Terminé",INDEX($A$10:$A$25,MATCH(SUMPRODUCT(($A$10:$A$25&lt;&gt;"")*($D$10:$D$25&lt;=C297))+1,$E$10:$E$25,0)))</f>
        <v>Terminé</v>
      </c>
      <c r="E297" s="24" t="str">
        <f aca="false">IF(C297&gt;=TotalStations,"",INDEX($C$10:$C$25,MATCH(SUMPRODUCT(($A$10:$A$25&lt;&gt;"")*($D$10:$D$25&lt;=C297))+1,$E$10:$E$25,0)))</f>
        <v/>
      </c>
      <c r="F297" s="24" t="n">
        <f aca="false">IF(C297&gt;=TotalStations,0,IF(B297="Dédié",MIN(FLOOR(420/E297,1),(TotalStations-C297)),MIN(1,(TotalStations-C297))))</f>
        <v>0</v>
      </c>
      <c r="G297" s="24" t="n">
        <f aca="false">C297+F297</f>
        <v>199</v>
      </c>
      <c r="H297" s="24" t="n">
        <f aca="false">L296</f>
        <v>199</v>
      </c>
      <c r="I297" s="24" t="str">
        <f aca="false">IF(H297&gt;=TotalStations,"Terminé",INDEX($A$10:$A$25,MATCH(SUMPRODUCT(($A$10:$A$25&lt;&gt;"")*($D$10:$D$25&lt;=H297))+1,$E$10:$E$25,0)))</f>
        <v>Terminé</v>
      </c>
      <c r="J297" s="24" t="str">
        <f aca="false">IF(H297&gt;=TotalStations,"",INDEX($C$10:$C$25,MATCH(SUMPRODUCT(($A$10:$A$25&lt;&gt;"")*($D$10:$D$25&lt;=H297))+1,$E$10:$E$25,0)))</f>
        <v/>
      </c>
      <c r="K297" s="24" t="n">
        <f aca="false">IF(H297&gt;=TotalStations,0,IF(B297="Dédié",MIN(FLOOR(420/J297,1),(TotalStations-H297)),MIN(2,(TotalStations-H297))))</f>
        <v>0</v>
      </c>
      <c r="L297" s="24" t="n">
        <f aca="false">H297+K297</f>
        <v>199</v>
      </c>
      <c r="M297" s="24" t="n">
        <f aca="false">Q296</f>
        <v>199</v>
      </c>
      <c r="N297" s="24" t="str">
        <f aca="false">IF(M297&gt;=TotalStations,"Terminé",INDEX($A$10:$A$25,MATCH(SUMPRODUCT(($A$10:$A$25&lt;&gt;"")*($D$10:$D$25&lt;=M297))+1,$E$10:$E$25,0)))</f>
        <v>Terminé</v>
      </c>
      <c r="O297" s="24" t="str">
        <f aca="false">IF(M297&gt;=TotalStations,"",INDEX($C$10:$C$25,MATCH(SUMPRODUCT(($A$10:$A$25&lt;&gt;"")*($D$10:$D$25&lt;=M297))+1,$E$10:$E$25,0)))</f>
        <v/>
      </c>
      <c r="P297" s="24" t="n">
        <f aca="false">IF(M297&gt;=TotalStations,0,MIN(FLOOR(420/O297,1),(TotalStations-M297)))</f>
        <v>0</v>
      </c>
      <c r="Q297" s="24" t="n">
        <f aca="false">M297+P297</f>
        <v>199</v>
      </c>
    </row>
    <row r="298" customFormat="false" ht="15" hidden="false" customHeight="true" outlineLevel="0" collapsed="false">
      <c r="A298" s="37" t="n">
        <f aca="false">WORKDAY(A297,1)</f>
        <v>46589</v>
      </c>
      <c r="B298" s="24" t="str">
        <f aca="false">IF(COUNTIF($B$5:$F$5,A298)&gt;0,"Dédié","Normal")</f>
        <v>Normal</v>
      </c>
      <c r="C298" s="24" t="n">
        <f aca="false">G297</f>
        <v>199</v>
      </c>
      <c r="D298" s="24" t="str">
        <f aca="false">IF(C298&gt;=TotalStations,"Terminé",INDEX($A$10:$A$25,MATCH(SUMPRODUCT(($A$10:$A$25&lt;&gt;"")*($D$10:$D$25&lt;=C298))+1,$E$10:$E$25,0)))</f>
        <v>Terminé</v>
      </c>
      <c r="E298" s="24" t="str">
        <f aca="false">IF(C298&gt;=TotalStations,"",INDEX($C$10:$C$25,MATCH(SUMPRODUCT(($A$10:$A$25&lt;&gt;"")*($D$10:$D$25&lt;=C298))+1,$E$10:$E$25,0)))</f>
        <v/>
      </c>
      <c r="F298" s="24" t="n">
        <f aca="false">IF(C298&gt;=TotalStations,0,IF(B298="Dédié",MIN(FLOOR(420/E298,1),(TotalStations-C298)),MIN(1,(TotalStations-C298))))</f>
        <v>0</v>
      </c>
      <c r="G298" s="24" t="n">
        <f aca="false">C298+F298</f>
        <v>199</v>
      </c>
      <c r="H298" s="24" t="n">
        <f aca="false">L297</f>
        <v>199</v>
      </c>
      <c r="I298" s="24" t="str">
        <f aca="false">IF(H298&gt;=TotalStations,"Terminé",INDEX($A$10:$A$25,MATCH(SUMPRODUCT(($A$10:$A$25&lt;&gt;"")*($D$10:$D$25&lt;=H298))+1,$E$10:$E$25,0)))</f>
        <v>Terminé</v>
      </c>
      <c r="J298" s="24" t="str">
        <f aca="false">IF(H298&gt;=TotalStations,"",INDEX($C$10:$C$25,MATCH(SUMPRODUCT(($A$10:$A$25&lt;&gt;"")*($D$10:$D$25&lt;=H298))+1,$E$10:$E$25,0)))</f>
        <v/>
      </c>
      <c r="K298" s="24" t="n">
        <f aca="false">IF(H298&gt;=TotalStations,0,IF(B298="Dédié",MIN(FLOOR(420/J298,1),(TotalStations-H298)),MIN(2,(TotalStations-H298))))</f>
        <v>0</v>
      </c>
      <c r="L298" s="24" t="n">
        <f aca="false">H298+K298</f>
        <v>199</v>
      </c>
      <c r="M298" s="24" t="n">
        <f aca="false">Q297</f>
        <v>199</v>
      </c>
      <c r="N298" s="24" t="str">
        <f aca="false">IF(M298&gt;=TotalStations,"Terminé",INDEX($A$10:$A$25,MATCH(SUMPRODUCT(($A$10:$A$25&lt;&gt;"")*($D$10:$D$25&lt;=M298))+1,$E$10:$E$25,0)))</f>
        <v>Terminé</v>
      </c>
      <c r="O298" s="24" t="str">
        <f aca="false">IF(M298&gt;=TotalStations,"",INDEX($C$10:$C$25,MATCH(SUMPRODUCT(($A$10:$A$25&lt;&gt;"")*($D$10:$D$25&lt;=M298))+1,$E$10:$E$25,0)))</f>
        <v/>
      </c>
      <c r="P298" s="24" t="n">
        <f aca="false">IF(M298&gt;=TotalStations,0,MIN(FLOOR(420/O298,1),(TotalStations-M298)))</f>
        <v>0</v>
      </c>
      <c r="Q298" s="24" t="n">
        <f aca="false">M298+P298</f>
        <v>199</v>
      </c>
    </row>
    <row r="299" customFormat="false" ht="15" hidden="false" customHeight="true" outlineLevel="0" collapsed="false">
      <c r="A299" s="37" t="n">
        <f aca="false">WORKDAY(A298,1)</f>
        <v>46590</v>
      </c>
      <c r="B299" s="24" t="str">
        <f aca="false">IF(COUNTIF($B$5:$F$5,A299)&gt;0,"Dédié","Normal")</f>
        <v>Normal</v>
      </c>
      <c r="C299" s="24" t="n">
        <f aca="false">G298</f>
        <v>199</v>
      </c>
      <c r="D299" s="24" t="str">
        <f aca="false">IF(C299&gt;=TotalStations,"Terminé",INDEX($A$10:$A$25,MATCH(SUMPRODUCT(($A$10:$A$25&lt;&gt;"")*($D$10:$D$25&lt;=C299))+1,$E$10:$E$25,0)))</f>
        <v>Terminé</v>
      </c>
      <c r="E299" s="24" t="str">
        <f aca="false">IF(C299&gt;=TotalStations,"",INDEX($C$10:$C$25,MATCH(SUMPRODUCT(($A$10:$A$25&lt;&gt;"")*($D$10:$D$25&lt;=C299))+1,$E$10:$E$25,0)))</f>
        <v/>
      </c>
      <c r="F299" s="24" t="n">
        <f aca="false">IF(C299&gt;=TotalStations,0,IF(B299="Dédié",MIN(FLOOR(420/E299,1),(TotalStations-C299)),MIN(1,(TotalStations-C299))))</f>
        <v>0</v>
      </c>
      <c r="G299" s="24" t="n">
        <f aca="false">C299+F299</f>
        <v>199</v>
      </c>
      <c r="H299" s="24" t="n">
        <f aca="false">L298</f>
        <v>199</v>
      </c>
      <c r="I299" s="24" t="str">
        <f aca="false">IF(H299&gt;=TotalStations,"Terminé",INDEX($A$10:$A$25,MATCH(SUMPRODUCT(($A$10:$A$25&lt;&gt;"")*($D$10:$D$25&lt;=H299))+1,$E$10:$E$25,0)))</f>
        <v>Terminé</v>
      </c>
      <c r="J299" s="24" t="str">
        <f aca="false">IF(H299&gt;=TotalStations,"",INDEX($C$10:$C$25,MATCH(SUMPRODUCT(($A$10:$A$25&lt;&gt;"")*($D$10:$D$25&lt;=H299))+1,$E$10:$E$25,0)))</f>
        <v/>
      </c>
      <c r="K299" s="24" t="n">
        <f aca="false">IF(H299&gt;=TotalStations,0,IF(B299="Dédié",MIN(FLOOR(420/J299,1),(TotalStations-H299)),MIN(2,(TotalStations-H299))))</f>
        <v>0</v>
      </c>
      <c r="L299" s="24" t="n">
        <f aca="false">H299+K299</f>
        <v>199</v>
      </c>
      <c r="M299" s="24" t="n">
        <f aca="false">Q298</f>
        <v>199</v>
      </c>
      <c r="N299" s="24" t="str">
        <f aca="false">IF(M299&gt;=TotalStations,"Terminé",INDEX($A$10:$A$25,MATCH(SUMPRODUCT(($A$10:$A$25&lt;&gt;"")*($D$10:$D$25&lt;=M299))+1,$E$10:$E$25,0)))</f>
        <v>Terminé</v>
      </c>
      <c r="O299" s="24" t="str">
        <f aca="false">IF(M299&gt;=TotalStations,"",INDEX($C$10:$C$25,MATCH(SUMPRODUCT(($A$10:$A$25&lt;&gt;"")*($D$10:$D$25&lt;=M299))+1,$E$10:$E$25,0)))</f>
        <v/>
      </c>
      <c r="P299" s="24" t="n">
        <f aca="false">IF(M299&gt;=TotalStations,0,MIN(FLOOR(420/O299,1),(TotalStations-M299)))</f>
        <v>0</v>
      </c>
      <c r="Q299" s="24" t="n">
        <f aca="false">M299+P299</f>
        <v>199</v>
      </c>
    </row>
    <row r="300" customFormat="false" ht="15" hidden="false" customHeight="true" outlineLevel="0" collapsed="false">
      <c r="A300" s="37" t="n">
        <f aca="false">WORKDAY(A299,1)</f>
        <v>46591</v>
      </c>
      <c r="B300" s="24" t="str">
        <f aca="false">IF(COUNTIF($B$5:$F$5,A300)&gt;0,"Dédié","Normal")</f>
        <v>Normal</v>
      </c>
      <c r="C300" s="24" t="n">
        <f aca="false">G299</f>
        <v>199</v>
      </c>
      <c r="D300" s="24" t="str">
        <f aca="false">IF(C300&gt;=TotalStations,"Terminé",INDEX($A$10:$A$25,MATCH(SUMPRODUCT(($A$10:$A$25&lt;&gt;"")*($D$10:$D$25&lt;=C300))+1,$E$10:$E$25,0)))</f>
        <v>Terminé</v>
      </c>
      <c r="E300" s="24" t="str">
        <f aca="false">IF(C300&gt;=TotalStations,"",INDEX($C$10:$C$25,MATCH(SUMPRODUCT(($A$10:$A$25&lt;&gt;"")*($D$10:$D$25&lt;=C300))+1,$E$10:$E$25,0)))</f>
        <v/>
      </c>
      <c r="F300" s="24" t="n">
        <f aca="false">IF(C300&gt;=TotalStations,0,IF(B300="Dédié",MIN(FLOOR(420/E300,1),(TotalStations-C300)),MIN(1,(TotalStations-C300))))</f>
        <v>0</v>
      </c>
      <c r="G300" s="24" t="n">
        <f aca="false">C300+F300</f>
        <v>199</v>
      </c>
      <c r="H300" s="24" t="n">
        <f aca="false">L299</f>
        <v>199</v>
      </c>
      <c r="I300" s="24" t="str">
        <f aca="false">IF(H300&gt;=TotalStations,"Terminé",INDEX($A$10:$A$25,MATCH(SUMPRODUCT(($A$10:$A$25&lt;&gt;"")*($D$10:$D$25&lt;=H300))+1,$E$10:$E$25,0)))</f>
        <v>Terminé</v>
      </c>
      <c r="J300" s="24" t="str">
        <f aca="false">IF(H300&gt;=TotalStations,"",INDEX($C$10:$C$25,MATCH(SUMPRODUCT(($A$10:$A$25&lt;&gt;"")*($D$10:$D$25&lt;=H300))+1,$E$10:$E$25,0)))</f>
        <v/>
      </c>
      <c r="K300" s="24" t="n">
        <f aca="false">IF(H300&gt;=TotalStations,0,IF(B300="Dédié",MIN(FLOOR(420/J300,1),(TotalStations-H300)),MIN(2,(TotalStations-H300))))</f>
        <v>0</v>
      </c>
      <c r="L300" s="24" t="n">
        <f aca="false">H300+K300</f>
        <v>199</v>
      </c>
      <c r="M300" s="24" t="n">
        <f aca="false">Q299</f>
        <v>199</v>
      </c>
      <c r="N300" s="24" t="str">
        <f aca="false">IF(M300&gt;=TotalStations,"Terminé",INDEX($A$10:$A$25,MATCH(SUMPRODUCT(($A$10:$A$25&lt;&gt;"")*($D$10:$D$25&lt;=M300))+1,$E$10:$E$25,0)))</f>
        <v>Terminé</v>
      </c>
      <c r="O300" s="24" t="str">
        <f aca="false">IF(M300&gt;=TotalStations,"",INDEX($C$10:$C$25,MATCH(SUMPRODUCT(($A$10:$A$25&lt;&gt;"")*($D$10:$D$25&lt;=M300))+1,$E$10:$E$25,0)))</f>
        <v/>
      </c>
      <c r="P300" s="24" t="n">
        <f aca="false">IF(M300&gt;=TotalStations,0,MIN(FLOOR(420/O300,1),(TotalStations-M300)))</f>
        <v>0</v>
      </c>
      <c r="Q300" s="24" t="n">
        <f aca="false">M300+P300</f>
        <v>199</v>
      </c>
    </row>
    <row r="301" customFormat="false" ht="15" hidden="false" customHeight="true" outlineLevel="0" collapsed="false">
      <c r="A301" s="37" t="n">
        <f aca="false">WORKDAY(A300,1)</f>
        <v>46594</v>
      </c>
      <c r="B301" s="24" t="str">
        <f aca="false">IF(COUNTIF($B$5:$F$5,A301)&gt;0,"Dédié","Normal")</f>
        <v>Normal</v>
      </c>
      <c r="C301" s="24" t="n">
        <f aca="false">G300</f>
        <v>199</v>
      </c>
      <c r="D301" s="24" t="str">
        <f aca="false">IF(C301&gt;=TotalStations,"Terminé",INDEX($A$10:$A$25,MATCH(SUMPRODUCT(($A$10:$A$25&lt;&gt;"")*($D$10:$D$25&lt;=C301))+1,$E$10:$E$25,0)))</f>
        <v>Terminé</v>
      </c>
      <c r="E301" s="24" t="str">
        <f aca="false">IF(C301&gt;=TotalStations,"",INDEX($C$10:$C$25,MATCH(SUMPRODUCT(($A$10:$A$25&lt;&gt;"")*($D$10:$D$25&lt;=C301))+1,$E$10:$E$25,0)))</f>
        <v/>
      </c>
      <c r="F301" s="24" t="n">
        <f aca="false">IF(C301&gt;=TotalStations,0,IF(B301="Dédié",MIN(FLOOR(420/E301,1),(TotalStations-C301)),MIN(1,(TotalStations-C301))))</f>
        <v>0</v>
      </c>
      <c r="G301" s="24" t="n">
        <f aca="false">C301+F301</f>
        <v>199</v>
      </c>
      <c r="H301" s="24" t="n">
        <f aca="false">L300</f>
        <v>199</v>
      </c>
      <c r="I301" s="24" t="str">
        <f aca="false">IF(H301&gt;=TotalStations,"Terminé",INDEX($A$10:$A$25,MATCH(SUMPRODUCT(($A$10:$A$25&lt;&gt;"")*($D$10:$D$25&lt;=H301))+1,$E$10:$E$25,0)))</f>
        <v>Terminé</v>
      </c>
      <c r="J301" s="24" t="str">
        <f aca="false">IF(H301&gt;=TotalStations,"",INDEX($C$10:$C$25,MATCH(SUMPRODUCT(($A$10:$A$25&lt;&gt;"")*($D$10:$D$25&lt;=H301))+1,$E$10:$E$25,0)))</f>
        <v/>
      </c>
      <c r="K301" s="24" t="n">
        <f aca="false">IF(H301&gt;=TotalStations,0,IF(B301="Dédié",MIN(FLOOR(420/J301,1),(TotalStations-H301)),MIN(2,(TotalStations-H301))))</f>
        <v>0</v>
      </c>
      <c r="L301" s="24" t="n">
        <f aca="false">H301+K301</f>
        <v>199</v>
      </c>
      <c r="M301" s="24" t="n">
        <f aca="false">Q300</f>
        <v>199</v>
      </c>
      <c r="N301" s="24" t="str">
        <f aca="false">IF(M301&gt;=TotalStations,"Terminé",INDEX($A$10:$A$25,MATCH(SUMPRODUCT(($A$10:$A$25&lt;&gt;"")*($D$10:$D$25&lt;=M301))+1,$E$10:$E$25,0)))</f>
        <v>Terminé</v>
      </c>
      <c r="O301" s="24" t="str">
        <f aca="false">IF(M301&gt;=TotalStations,"",INDEX($C$10:$C$25,MATCH(SUMPRODUCT(($A$10:$A$25&lt;&gt;"")*($D$10:$D$25&lt;=M301))+1,$E$10:$E$25,0)))</f>
        <v/>
      </c>
      <c r="P301" s="24" t="n">
        <f aca="false">IF(M301&gt;=TotalStations,0,MIN(FLOOR(420/O301,1),(TotalStations-M301)))</f>
        <v>0</v>
      </c>
      <c r="Q301" s="24" t="n">
        <f aca="false">M301+P301</f>
        <v>199</v>
      </c>
    </row>
    <row r="302" customFormat="false" ht="15" hidden="false" customHeight="true" outlineLevel="0" collapsed="false">
      <c r="A302" s="37" t="n">
        <f aca="false">WORKDAY(A301,1)</f>
        <v>46595</v>
      </c>
      <c r="B302" s="24" t="str">
        <f aca="false">IF(COUNTIF($B$5:$F$5,A302)&gt;0,"Dédié","Normal")</f>
        <v>Normal</v>
      </c>
      <c r="C302" s="24" t="n">
        <f aca="false">G301</f>
        <v>199</v>
      </c>
      <c r="D302" s="24" t="str">
        <f aca="false">IF(C302&gt;=TotalStations,"Terminé",INDEX($A$10:$A$25,MATCH(SUMPRODUCT(($A$10:$A$25&lt;&gt;"")*($D$10:$D$25&lt;=C302))+1,$E$10:$E$25,0)))</f>
        <v>Terminé</v>
      </c>
      <c r="E302" s="24" t="str">
        <f aca="false">IF(C302&gt;=TotalStations,"",INDEX($C$10:$C$25,MATCH(SUMPRODUCT(($A$10:$A$25&lt;&gt;"")*($D$10:$D$25&lt;=C302))+1,$E$10:$E$25,0)))</f>
        <v/>
      </c>
      <c r="F302" s="24" t="n">
        <f aca="false">IF(C302&gt;=TotalStations,0,IF(B302="Dédié",MIN(FLOOR(420/E302,1),(TotalStations-C302)),MIN(1,(TotalStations-C302))))</f>
        <v>0</v>
      </c>
      <c r="G302" s="24" t="n">
        <f aca="false">C302+F302</f>
        <v>199</v>
      </c>
      <c r="H302" s="24" t="n">
        <f aca="false">L301</f>
        <v>199</v>
      </c>
      <c r="I302" s="24" t="str">
        <f aca="false">IF(H302&gt;=TotalStations,"Terminé",INDEX($A$10:$A$25,MATCH(SUMPRODUCT(($A$10:$A$25&lt;&gt;"")*($D$10:$D$25&lt;=H302))+1,$E$10:$E$25,0)))</f>
        <v>Terminé</v>
      </c>
      <c r="J302" s="24" t="str">
        <f aca="false">IF(H302&gt;=TotalStations,"",INDEX($C$10:$C$25,MATCH(SUMPRODUCT(($A$10:$A$25&lt;&gt;"")*($D$10:$D$25&lt;=H302))+1,$E$10:$E$25,0)))</f>
        <v/>
      </c>
      <c r="K302" s="24" t="n">
        <f aca="false">IF(H302&gt;=TotalStations,0,IF(B302="Dédié",MIN(FLOOR(420/J302,1),(TotalStations-H302)),MIN(2,(TotalStations-H302))))</f>
        <v>0</v>
      </c>
      <c r="L302" s="24" t="n">
        <f aca="false">H302+K302</f>
        <v>199</v>
      </c>
      <c r="M302" s="24" t="n">
        <f aca="false">Q301</f>
        <v>199</v>
      </c>
      <c r="N302" s="24" t="str">
        <f aca="false">IF(M302&gt;=TotalStations,"Terminé",INDEX($A$10:$A$25,MATCH(SUMPRODUCT(($A$10:$A$25&lt;&gt;"")*($D$10:$D$25&lt;=M302))+1,$E$10:$E$25,0)))</f>
        <v>Terminé</v>
      </c>
      <c r="O302" s="24" t="str">
        <f aca="false">IF(M302&gt;=TotalStations,"",INDEX($C$10:$C$25,MATCH(SUMPRODUCT(($A$10:$A$25&lt;&gt;"")*($D$10:$D$25&lt;=M302))+1,$E$10:$E$25,0)))</f>
        <v/>
      </c>
      <c r="P302" s="24" t="n">
        <f aca="false">IF(M302&gt;=TotalStations,0,MIN(FLOOR(420/O302,1),(TotalStations-M302)))</f>
        <v>0</v>
      </c>
      <c r="Q302" s="24" t="n">
        <f aca="false">M302+P302</f>
        <v>199</v>
      </c>
    </row>
    <row r="303" customFormat="false" ht="15" hidden="false" customHeight="true" outlineLevel="0" collapsed="false">
      <c r="A303" s="37" t="n">
        <f aca="false">WORKDAY(A302,1)</f>
        <v>46596</v>
      </c>
      <c r="B303" s="24" t="str">
        <f aca="false">IF(COUNTIF($B$5:$F$5,A303)&gt;0,"Dédié","Normal")</f>
        <v>Normal</v>
      </c>
      <c r="C303" s="24" t="n">
        <f aca="false">G302</f>
        <v>199</v>
      </c>
      <c r="D303" s="24" t="str">
        <f aca="false">IF(C303&gt;=TotalStations,"Terminé",INDEX($A$10:$A$25,MATCH(SUMPRODUCT(($A$10:$A$25&lt;&gt;"")*($D$10:$D$25&lt;=C303))+1,$E$10:$E$25,0)))</f>
        <v>Terminé</v>
      </c>
      <c r="E303" s="24" t="str">
        <f aca="false">IF(C303&gt;=TotalStations,"",INDEX($C$10:$C$25,MATCH(SUMPRODUCT(($A$10:$A$25&lt;&gt;"")*($D$10:$D$25&lt;=C303))+1,$E$10:$E$25,0)))</f>
        <v/>
      </c>
      <c r="F303" s="24" t="n">
        <f aca="false">IF(C303&gt;=TotalStations,0,IF(B303="Dédié",MIN(FLOOR(420/E303,1),(TotalStations-C303)),MIN(1,(TotalStations-C303))))</f>
        <v>0</v>
      </c>
      <c r="G303" s="24" t="n">
        <f aca="false">C303+F303</f>
        <v>199</v>
      </c>
      <c r="H303" s="24" t="n">
        <f aca="false">L302</f>
        <v>199</v>
      </c>
      <c r="I303" s="24" t="str">
        <f aca="false">IF(H303&gt;=TotalStations,"Terminé",INDEX($A$10:$A$25,MATCH(SUMPRODUCT(($A$10:$A$25&lt;&gt;"")*($D$10:$D$25&lt;=H303))+1,$E$10:$E$25,0)))</f>
        <v>Terminé</v>
      </c>
      <c r="J303" s="24" t="str">
        <f aca="false">IF(H303&gt;=TotalStations,"",INDEX($C$10:$C$25,MATCH(SUMPRODUCT(($A$10:$A$25&lt;&gt;"")*($D$10:$D$25&lt;=H303))+1,$E$10:$E$25,0)))</f>
        <v/>
      </c>
      <c r="K303" s="24" t="n">
        <f aca="false">IF(H303&gt;=TotalStations,0,IF(B303="Dédié",MIN(FLOOR(420/J303,1),(TotalStations-H303)),MIN(2,(TotalStations-H303))))</f>
        <v>0</v>
      </c>
      <c r="L303" s="24" t="n">
        <f aca="false">H303+K303</f>
        <v>199</v>
      </c>
      <c r="M303" s="24" t="n">
        <f aca="false">Q302</f>
        <v>199</v>
      </c>
      <c r="N303" s="24" t="str">
        <f aca="false">IF(M303&gt;=TotalStations,"Terminé",INDEX($A$10:$A$25,MATCH(SUMPRODUCT(($A$10:$A$25&lt;&gt;"")*($D$10:$D$25&lt;=M303))+1,$E$10:$E$25,0)))</f>
        <v>Terminé</v>
      </c>
      <c r="O303" s="24" t="str">
        <f aca="false">IF(M303&gt;=TotalStations,"",INDEX($C$10:$C$25,MATCH(SUMPRODUCT(($A$10:$A$25&lt;&gt;"")*($D$10:$D$25&lt;=M303))+1,$E$10:$E$25,0)))</f>
        <v/>
      </c>
      <c r="P303" s="24" t="n">
        <f aca="false">IF(M303&gt;=TotalStations,0,MIN(FLOOR(420/O303,1),(TotalStations-M303)))</f>
        <v>0</v>
      </c>
      <c r="Q303" s="24" t="n">
        <f aca="false">M303+P303</f>
        <v>199</v>
      </c>
    </row>
    <row r="304" customFormat="false" ht="15" hidden="false" customHeight="true" outlineLevel="0" collapsed="false">
      <c r="A304" s="37" t="n">
        <f aca="false">WORKDAY(A303,1)</f>
        <v>46597</v>
      </c>
      <c r="B304" s="24" t="str">
        <f aca="false">IF(COUNTIF($B$5:$F$5,A304)&gt;0,"Dédié","Normal")</f>
        <v>Normal</v>
      </c>
      <c r="C304" s="24" t="n">
        <f aca="false">G303</f>
        <v>199</v>
      </c>
      <c r="D304" s="24" t="str">
        <f aca="false">IF(C304&gt;=TotalStations,"Terminé",INDEX($A$10:$A$25,MATCH(SUMPRODUCT(($A$10:$A$25&lt;&gt;"")*($D$10:$D$25&lt;=C304))+1,$E$10:$E$25,0)))</f>
        <v>Terminé</v>
      </c>
      <c r="E304" s="24" t="str">
        <f aca="false">IF(C304&gt;=TotalStations,"",INDEX($C$10:$C$25,MATCH(SUMPRODUCT(($A$10:$A$25&lt;&gt;"")*($D$10:$D$25&lt;=C304))+1,$E$10:$E$25,0)))</f>
        <v/>
      </c>
      <c r="F304" s="24" t="n">
        <f aca="false">IF(C304&gt;=TotalStations,0,IF(B304="Dédié",MIN(FLOOR(420/E304,1),(TotalStations-C304)),MIN(1,(TotalStations-C304))))</f>
        <v>0</v>
      </c>
      <c r="G304" s="24" t="n">
        <f aca="false">C304+F304</f>
        <v>199</v>
      </c>
      <c r="H304" s="24" t="n">
        <f aca="false">L303</f>
        <v>199</v>
      </c>
      <c r="I304" s="24" t="str">
        <f aca="false">IF(H304&gt;=TotalStations,"Terminé",INDEX($A$10:$A$25,MATCH(SUMPRODUCT(($A$10:$A$25&lt;&gt;"")*($D$10:$D$25&lt;=H304))+1,$E$10:$E$25,0)))</f>
        <v>Terminé</v>
      </c>
      <c r="J304" s="24" t="str">
        <f aca="false">IF(H304&gt;=TotalStations,"",INDEX($C$10:$C$25,MATCH(SUMPRODUCT(($A$10:$A$25&lt;&gt;"")*($D$10:$D$25&lt;=H304))+1,$E$10:$E$25,0)))</f>
        <v/>
      </c>
      <c r="K304" s="24" t="n">
        <f aca="false">IF(H304&gt;=TotalStations,0,IF(B304="Dédié",MIN(FLOOR(420/J304,1),(TotalStations-H304)),MIN(2,(TotalStations-H304))))</f>
        <v>0</v>
      </c>
      <c r="L304" s="24" t="n">
        <f aca="false">H304+K304</f>
        <v>199</v>
      </c>
      <c r="M304" s="24" t="n">
        <f aca="false">Q303</f>
        <v>199</v>
      </c>
      <c r="N304" s="24" t="str">
        <f aca="false">IF(M304&gt;=TotalStations,"Terminé",INDEX($A$10:$A$25,MATCH(SUMPRODUCT(($A$10:$A$25&lt;&gt;"")*($D$10:$D$25&lt;=M304))+1,$E$10:$E$25,0)))</f>
        <v>Terminé</v>
      </c>
      <c r="O304" s="24" t="str">
        <f aca="false">IF(M304&gt;=TotalStations,"",INDEX($C$10:$C$25,MATCH(SUMPRODUCT(($A$10:$A$25&lt;&gt;"")*($D$10:$D$25&lt;=M304))+1,$E$10:$E$25,0)))</f>
        <v/>
      </c>
      <c r="P304" s="24" t="n">
        <f aca="false">IF(M304&gt;=TotalStations,0,MIN(FLOOR(420/O304,1),(TotalStations-M304)))</f>
        <v>0</v>
      </c>
      <c r="Q304" s="24" t="n">
        <f aca="false">M304+P304</f>
        <v>199</v>
      </c>
    </row>
    <row r="305" customFormat="false" ht="15" hidden="false" customHeight="true" outlineLevel="0" collapsed="false">
      <c r="A305" s="37" t="n">
        <f aca="false">WORKDAY(A304,1)</f>
        <v>46598</v>
      </c>
      <c r="B305" s="24" t="str">
        <f aca="false">IF(COUNTIF($B$5:$F$5,A305)&gt;0,"Dédié","Normal")</f>
        <v>Normal</v>
      </c>
      <c r="C305" s="24" t="n">
        <f aca="false">G304</f>
        <v>199</v>
      </c>
      <c r="D305" s="24" t="str">
        <f aca="false">IF(C305&gt;=TotalStations,"Terminé",INDEX($A$10:$A$25,MATCH(SUMPRODUCT(($A$10:$A$25&lt;&gt;"")*($D$10:$D$25&lt;=C305))+1,$E$10:$E$25,0)))</f>
        <v>Terminé</v>
      </c>
      <c r="E305" s="24" t="str">
        <f aca="false">IF(C305&gt;=TotalStations,"",INDEX($C$10:$C$25,MATCH(SUMPRODUCT(($A$10:$A$25&lt;&gt;"")*($D$10:$D$25&lt;=C305))+1,$E$10:$E$25,0)))</f>
        <v/>
      </c>
      <c r="F305" s="24" t="n">
        <f aca="false">IF(C305&gt;=TotalStations,0,IF(B305="Dédié",MIN(FLOOR(420/E305,1),(TotalStations-C305)),MIN(1,(TotalStations-C305))))</f>
        <v>0</v>
      </c>
      <c r="G305" s="24" t="n">
        <f aca="false">C305+F305</f>
        <v>199</v>
      </c>
      <c r="H305" s="24" t="n">
        <f aca="false">L304</f>
        <v>199</v>
      </c>
      <c r="I305" s="24" t="str">
        <f aca="false">IF(H305&gt;=TotalStations,"Terminé",INDEX($A$10:$A$25,MATCH(SUMPRODUCT(($A$10:$A$25&lt;&gt;"")*($D$10:$D$25&lt;=H305))+1,$E$10:$E$25,0)))</f>
        <v>Terminé</v>
      </c>
      <c r="J305" s="24" t="str">
        <f aca="false">IF(H305&gt;=TotalStations,"",INDEX($C$10:$C$25,MATCH(SUMPRODUCT(($A$10:$A$25&lt;&gt;"")*($D$10:$D$25&lt;=H305))+1,$E$10:$E$25,0)))</f>
        <v/>
      </c>
      <c r="K305" s="24" t="n">
        <f aca="false">IF(H305&gt;=TotalStations,0,IF(B305="Dédié",MIN(FLOOR(420/J305,1),(TotalStations-H305)),MIN(2,(TotalStations-H305))))</f>
        <v>0</v>
      </c>
      <c r="L305" s="24" t="n">
        <f aca="false">H305+K305</f>
        <v>199</v>
      </c>
      <c r="M305" s="24" t="n">
        <f aca="false">Q304</f>
        <v>199</v>
      </c>
      <c r="N305" s="24" t="str">
        <f aca="false">IF(M305&gt;=TotalStations,"Terminé",INDEX($A$10:$A$25,MATCH(SUMPRODUCT(($A$10:$A$25&lt;&gt;"")*($D$10:$D$25&lt;=M305))+1,$E$10:$E$25,0)))</f>
        <v>Terminé</v>
      </c>
      <c r="O305" s="24" t="str">
        <f aca="false">IF(M305&gt;=TotalStations,"",INDEX($C$10:$C$25,MATCH(SUMPRODUCT(($A$10:$A$25&lt;&gt;"")*($D$10:$D$25&lt;=M305))+1,$E$10:$E$25,0)))</f>
        <v/>
      </c>
      <c r="P305" s="24" t="n">
        <f aca="false">IF(M305&gt;=TotalStations,0,MIN(FLOOR(420/O305,1),(TotalStations-M305)))</f>
        <v>0</v>
      </c>
      <c r="Q305" s="24" t="n">
        <f aca="false">M305+P305</f>
        <v>199</v>
      </c>
    </row>
    <row r="306" customFormat="false" ht="15" hidden="false" customHeight="true" outlineLevel="0" collapsed="false">
      <c r="A306" s="37" t="n">
        <f aca="false">WORKDAY(A305,1)</f>
        <v>46601</v>
      </c>
      <c r="B306" s="24" t="str">
        <f aca="false">IF(COUNTIF($B$5:$F$5,A306)&gt;0,"Dédié","Normal")</f>
        <v>Normal</v>
      </c>
      <c r="C306" s="24" t="n">
        <f aca="false">G305</f>
        <v>199</v>
      </c>
      <c r="D306" s="24" t="str">
        <f aca="false">IF(C306&gt;=TotalStations,"Terminé",INDEX($A$10:$A$25,MATCH(SUMPRODUCT(($A$10:$A$25&lt;&gt;"")*($D$10:$D$25&lt;=C306))+1,$E$10:$E$25,0)))</f>
        <v>Terminé</v>
      </c>
      <c r="E306" s="24" t="str">
        <f aca="false">IF(C306&gt;=TotalStations,"",INDEX($C$10:$C$25,MATCH(SUMPRODUCT(($A$10:$A$25&lt;&gt;"")*($D$10:$D$25&lt;=C306))+1,$E$10:$E$25,0)))</f>
        <v/>
      </c>
      <c r="F306" s="24" t="n">
        <f aca="false">IF(C306&gt;=TotalStations,0,IF(B306="Dédié",MIN(FLOOR(420/E306,1),(TotalStations-C306)),MIN(1,(TotalStations-C306))))</f>
        <v>0</v>
      </c>
      <c r="G306" s="24" t="n">
        <f aca="false">C306+F306</f>
        <v>199</v>
      </c>
      <c r="H306" s="24" t="n">
        <f aca="false">L305</f>
        <v>199</v>
      </c>
      <c r="I306" s="24" t="str">
        <f aca="false">IF(H306&gt;=TotalStations,"Terminé",INDEX($A$10:$A$25,MATCH(SUMPRODUCT(($A$10:$A$25&lt;&gt;"")*($D$10:$D$25&lt;=H306))+1,$E$10:$E$25,0)))</f>
        <v>Terminé</v>
      </c>
      <c r="J306" s="24" t="str">
        <f aca="false">IF(H306&gt;=TotalStations,"",INDEX($C$10:$C$25,MATCH(SUMPRODUCT(($A$10:$A$25&lt;&gt;"")*($D$10:$D$25&lt;=H306))+1,$E$10:$E$25,0)))</f>
        <v/>
      </c>
      <c r="K306" s="24" t="n">
        <f aca="false">IF(H306&gt;=TotalStations,0,IF(B306="Dédié",MIN(FLOOR(420/J306,1),(TotalStations-H306)),MIN(2,(TotalStations-H306))))</f>
        <v>0</v>
      </c>
      <c r="L306" s="24" t="n">
        <f aca="false">H306+K306</f>
        <v>199</v>
      </c>
      <c r="M306" s="24" t="n">
        <f aca="false">Q305</f>
        <v>199</v>
      </c>
      <c r="N306" s="24" t="str">
        <f aca="false">IF(M306&gt;=TotalStations,"Terminé",INDEX($A$10:$A$25,MATCH(SUMPRODUCT(($A$10:$A$25&lt;&gt;"")*($D$10:$D$25&lt;=M306))+1,$E$10:$E$25,0)))</f>
        <v>Terminé</v>
      </c>
      <c r="O306" s="24" t="str">
        <f aca="false">IF(M306&gt;=TotalStations,"",INDEX($C$10:$C$25,MATCH(SUMPRODUCT(($A$10:$A$25&lt;&gt;"")*($D$10:$D$25&lt;=M306))+1,$E$10:$E$25,0)))</f>
        <v/>
      </c>
      <c r="P306" s="24" t="n">
        <f aca="false">IF(M306&gt;=TotalStations,0,MIN(FLOOR(420/O306,1),(TotalStations-M306)))</f>
        <v>0</v>
      </c>
      <c r="Q306" s="24" t="n">
        <f aca="false">M306+P306</f>
        <v>199</v>
      </c>
    </row>
    <row r="307" customFormat="false" ht="15" hidden="false" customHeight="true" outlineLevel="0" collapsed="false">
      <c r="A307" s="37" t="n">
        <f aca="false">WORKDAY(A306,1)</f>
        <v>46602</v>
      </c>
      <c r="B307" s="24" t="str">
        <f aca="false">IF(COUNTIF($B$5:$F$5,A307)&gt;0,"Dédié","Normal")</f>
        <v>Normal</v>
      </c>
      <c r="C307" s="24" t="n">
        <f aca="false">G306</f>
        <v>199</v>
      </c>
      <c r="D307" s="24" t="str">
        <f aca="false">IF(C307&gt;=TotalStations,"Terminé",INDEX($A$10:$A$25,MATCH(SUMPRODUCT(($A$10:$A$25&lt;&gt;"")*($D$10:$D$25&lt;=C307))+1,$E$10:$E$25,0)))</f>
        <v>Terminé</v>
      </c>
      <c r="E307" s="24" t="str">
        <f aca="false">IF(C307&gt;=TotalStations,"",INDEX($C$10:$C$25,MATCH(SUMPRODUCT(($A$10:$A$25&lt;&gt;"")*($D$10:$D$25&lt;=C307))+1,$E$10:$E$25,0)))</f>
        <v/>
      </c>
      <c r="F307" s="24" t="n">
        <f aca="false">IF(C307&gt;=TotalStations,0,IF(B307="Dédié",MIN(FLOOR(420/E307,1),(TotalStations-C307)),MIN(1,(TotalStations-C307))))</f>
        <v>0</v>
      </c>
      <c r="G307" s="24" t="n">
        <f aca="false">C307+F307</f>
        <v>199</v>
      </c>
      <c r="H307" s="24" t="n">
        <f aca="false">L306</f>
        <v>199</v>
      </c>
      <c r="I307" s="24" t="str">
        <f aca="false">IF(H307&gt;=TotalStations,"Terminé",INDEX($A$10:$A$25,MATCH(SUMPRODUCT(($A$10:$A$25&lt;&gt;"")*($D$10:$D$25&lt;=H307))+1,$E$10:$E$25,0)))</f>
        <v>Terminé</v>
      </c>
      <c r="J307" s="24" t="str">
        <f aca="false">IF(H307&gt;=TotalStations,"",INDEX($C$10:$C$25,MATCH(SUMPRODUCT(($A$10:$A$25&lt;&gt;"")*($D$10:$D$25&lt;=H307))+1,$E$10:$E$25,0)))</f>
        <v/>
      </c>
      <c r="K307" s="24" t="n">
        <f aca="false">IF(H307&gt;=TotalStations,0,IF(B307="Dédié",MIN(FLOOR(420/J307,1),(TotalStations-H307)),MIN(2,(TotalStations-H307))))</f>
        <v>0</v>
      </c>
      <c r="L307" s="24" t="n">
        <f aca="false">H307+K307</f>
        <v>199</v>
      </c>
      <c r="M307" s="24" t="n">
        <f aca="false">Q306</f>
        <v>199</v>
      </c>
      <c r="N307" s="24" t="str">
        <f aca="false">IF(M307&gt;=TotalStations,"Terminé",INDEX($A$10:$A$25,MATCH(SUMPRODUCT(($A$10:$A$25&lt;&gt;"")*($D$10:$D$25&lt;=M307))+1,$E$10:$E$25,0)))</f>
        <v>Terminé</v>
      </c>
      <c r="O307" s="24" t="str">
        <f aca="false">IF(M307&gt;=TotalStations,"",INDEX($C$10:$C$25,MATCH(SUMPRODUCT(($A$10:$A$25&lt;&gt;"")*($D$10:$D$25&lt;=M307))+1,$E$10:$E$25,0)))</f>
        <v/>
      </c>
      <c r="P307" s="24" t="n">
        <f aca="false">IF(M307&gt;=TotalStations,0,MIN(FLOOR(420/O307,1),(TotalStations-M307)))</f>
        <v>0</v>
      </c>
      <c r="Q307" s="24" t="n">
        <f aca="false">M307+P307</f>
        <v>199</v>
      </c>
    </row>
    <row r="308" customFormat="false" ht="15" hidden="false" customHeight="true" outlineLevel="0" collapsed="false">
      <c r="A308" s="37" t="n">
        <f aca="false">WORKDAY(A307,1)</f>
        <v>46603</v>
      </c>
      <c r="B308" s="24" t="str">
        <f aca="false">IF(COUNTIF($B$5:$F$5,A308)&gt;0,"Dédié","Normal")</f>
        <v>Normal</v>
      </c>
      <c r="C308" s="24" t="n">
        <f aca="false">G307</f>
        <v>199</v>
      </c>
      <c r="D308" s="24" t="str">
        <f aca="false">IF(C308&gt;=TotalStations,"Terminé",INDEX($A$10:$A$25,MATCH(SUMPRODUCT(($A$10:$A$25&lt;&gt;"")*($D$10:$D$25&lt;=C308))+1,$E$10:$E$25,0)))</f>
        <v>Terminé</v>
      </c>
      <c r="E308" s="24" t="str">
        <f aca="false">IF(C308&gt;=TotalStations,"",INDEX($C$10:$C$25,MATCH(SUMPRODUCT(($A$10:$A$25&lt;&gt;"")*($D$10:$D$25&lt;=C308))+1,$E$10:$E$25,0)))</f>
        <v/>
      </c>
      <c r="F308" s="24" t="n">
        <f aca="false">IF(C308&gt;=TotalStations,0,IF(B308="Dédié",MIN(FLOOR(420/E308,1),(TotalStations-C308)),MIN(1,(TotalStations-C308))))</f>
        <v>0</v>
      </c>
      <c r="G308" s="24" t="n">
        <f aca="false">C308+F308</f>
        <v>199</v>
      </c>
      <c r="H308" s="24" t="n">
        <f aca="false">L307</f>
        <v>199</v>
      </c>
      <c r="I308" s="24" t="str">
        <f aca="false">IF(H308&gt;=TotalStations,"Terminé",INDEX($A$10:$A$25,MATCH(SUMPRODUCT(($A$10:$A$25&lt;&gt;"")*($D$10:$D$25&lt;=H308))+1,$E$10:$E$25,0)))</f>
        <v>Terminé</v>
      </c>
      <c r="J308" s="24" t="str">
        <f aca="false">IF(H308&gt;=TotalStations,"",INDEX($C$10:$C$25,MATCH(SUMPRODUCT(($A$10:$A$25&lt;&gt;"")*($D$10:$D$25&lt;=H308))+1,$E$10:$E$25,0)))</f>
        <v/>
      </c>
      <c r="K308" s="24" t="n">
        <f aca="false">IF(H308&gt;=TotalStations,0,IF(B308="Dédié",MIN(FLOOR(420/J308,1),(TotalStations-H308)),MIN(2,(TotalStations-H308))))</f>
        <v>0</v>
      </c>
      <c r="L308" s="24" t="n">
        <f aca="false">H308+K308</f>
        <v>199</v>
      </c>
      <c r="M308" s="24" t="n">
        <f aca="false">Q307</f>
        <v>199</v>
      </c>
      <c r="N308" s="24" t="str">
        <f aca="false">IF(M308&gt;=TotalStations,"Terminé",INDEX($A$10:$A$25,MATCH(SUMPRODUCT(($A$10:$A$25&lt;&gt;"")*($D$10:$D$25&lt;=M308))+1,$E$10:$E$25,0)))</f>
        <v>Terminé</v>
      </c>
      <c r="O308" s="24" t="str">
        <f aca="false">IF(M308&gt;=TotalStations,"",INDEX($C$10:$C$25,MATCH(SUMPRODUCT(($A$10:$A$25&lt;&gt;"")*($D$10:$D$25&lt;=M308))+1,$E$10:$E$25,0)))</f>
        <v/>
      </c>
      <c r="P308" s="24" t="n">
        <f aca="false">IF(M308&gt;=TotalStations,0,MIN(FLOOR(420/O308,1),(TotalStations-M308)))</f>
        <v>0</v>
      </c>
      <c r="Q308" s="24" t="n">
        <f aca="false">M308+P308</f>
        <v>199</v>
      </c>
    </row>
    <row r="309" customFormat="false" ht="15" hidden="false" customHeight="true" outlineLevel="0" collapsed="false">
      <c r="A309" s="37" t="n">
        <f aca="false">WORKDAY(A308,1)</f>
        <v>46604</v>
      </c>
      <c r="B309" s="24" t="str">
        <f aca="false">IF(COUNTIF($B$5:$F$5,A309)&gt;0,"Dédié","Normal")</f>
        <v>Normal</v>
      </c>
      <c r="C309" s="24" t="n">
        <f aca="false">G308</f>
        <v>199</v>
      </c>
      <c r="D309" s="24" t="str">
        <f aca="false">IF(C309&gt;=TotalStations,"Terminé",INDEX($A$10:$A$25,MATCH(SUMPRODUCT(($A$10:$A$25&lt;&gt;"")*($D$10:$D$25&lt;=C309))+1,$E$10:$E$25,0)))</f>
        <v>Terminé</v>
      </c>
      <c r="E309" s="24" t="str">
        <f aca="false">IF(C309&gt;=TotalStations,"",INDEX($C$10:$C$25,MATCH(SUMPRODUCT(($A$10:$A$25&lt;&gt;"")*($D$10:$D$25&lt;=C309))+1,$E$10:$E$25,0)))</f>
        <v/>
      </c>
      <c r="F309" s="24" t="n">
        <f aca="false">IF(C309&gt;=TotalStations,0,IF(B309="Dédié",MIN(FLOOR(420/E309,1),(TotalStations-C309)),MIN(1,(TotalStations-C309))))</f>
        <v>0</v>
      </c>
      <c r="G309" s="24" t="n">
        <f aca="false">C309+F309</f>
        <v>199</v>
      </c>
      <c r="H309" s="24" t="n">
        <f aca="false">L308</f>
        <v>199</v>
      </c>
      <c r="I309" s="24" t="str">
        <f aca="false">IF(H309&gt;=TotalStations,"Terminé",INDEX($A$10:$A$25,MATCH(SUMPRODUCT(($A$10:$A$25&lt;&gt;"")*($D$10:$D$25&lt;=H309))+1,$E$10:$E$25,0)))</f>
        <v>Terminé</v>
      </c>
      <c r="J309" s="24" t="str">
        <f aca="false">IF(H309&gt;=TotalStations,"",INDEX($C$10:$C$25,MATCH(SUMPRODUCT(($A$10:$A$25&lt;&gt;"")*($D$10:$D$25&lt;=H309))+1,$E$10:$E$25,0)))</f>
        <v/>
      </c>
      <c r="K309" s="24" t="n">
        <f aca="false">IF(H309&gt;=TotalStations,0,IF(B309="Dédié",MIN(FLOOR(420/J309,1),(TotalStations-H309)),MIN(2,(TotalStations-H309))))</f>
        <v>0</v>
      </c>
      <c r="L309" s="24" t="n">
        <f aca="false">H309+K309</f>
        <v>199</v>
      </c>
      <c r="M309" s="24" t="n">
        <f aca="false">Q308</f>
        <v>199</v>
      </c>
      <c r="N309" s="24" t="str">
        <f aca="false">IF(M309&gt;=TotalStations,"Terminé",INDEX($A$10:$A$25,MATCH(SUMPRODUCT(($A$10:$A$25&lt;&gt;"")*($D$10:$D$25&lt;=M309))+1,$E$10:$E$25,0)))</f>
        <v>Terminé</v>
      </c>
      <c r="O309" s="24" t="str">
        <f aca="false">IF(M309&gt;=TotalStations,"",INDEX($C$10:$C$25,MATCH(SUMPRODUCT(($A$10:$A$25&lt;&gt;"")*($D$10:$D$25&lt;=M309))+1,$E$10:$E$25,0)))</f>
        <v/>
      </c>
      <c r="P309" s="24" t="n">
        <f aca="false">IF(M309&gt;=TotalStations,0,MIN(FLOOR(420/O309,1),(TotalStations-M309)))</f>
        <v>0</v>
      </c>
      <c r="Q309" s="24" t="n">
        <f aca="false">M309+P309</f>
        <v>199</v>
      </c>
    </row>
    <row r="310" customFormat="false" ht="15" hidden="false" customHeight="true" outlineLevel="0" collapsed="false">
      <c r="A310" s="37" t="n">
        <f aca="false">WORKDAY(A309,1)</f>
        <v>46605</v>
      </c>
      <c r="B310" s="24" t="str">
        <f aca="false">IF(COUNTIF($B$5:$F$5,A310)&gt;0,"Dédié","Normal")</f>
        <v>Normal</v>
      </c>
      <c r="C310" s="24" t="n">
        <f aca="false">G309</f>
        <v>199</v>
      </c>
      <c r="D310" s="24" t="str">
        <f aca="false">IF(C310&gt;=TotalStations,"Terminé",INDEX($A$10:$A$25,MATCH(SUMPRODUCT(($A$10:$A$25&lt;&gt;"")*($D$10:$D$25&lt;=C310))+1,$E$10:$E$25,0)))</f>
        <v>Terminé</v>
      </c>
      <c r="E310" s="24" t="str">
        <f aca="false">IF(C310&gt;=TotalStations,"",INDEX($C$10:$C$25,MATCH(SUMPRODUCT(($A$10:$A$25&lt;&gt;"")*($D$10:$D$25&lt;=C310))+1,$E$10:$E$25,0)))</f>
        <v/>
      </c>
      <c r="F310" s="24" t="n">
        <f aca="false">IF(C310&gt;=TotalStations,0,IF(B310="Dédié",MIN(FLOOR(420/E310,1),(TotalStations-C310)),MIN(1,(TotalStations-C310))))</f>
        <v>0</v>
      </c>
      <c r="G310" s="24" t="n">
        <f aca="false">C310+F310</f>
        <v>199</v>
      </c>
      <c r="H310" s="24" t="n">
        <f aca="false">L309</f>
        <v>199</v>
      </c>
      <c r="I310" s="24" t="str">
        <f aca="false">IF(H310&gt;=TotalStations,"Terminé",INDEX($A$10:$A$25,MATCH(SUMPRODUCT(($A$10:$A$25&lt;&gt;"")*($D$10:$D$25&lt;=H310))+1,$E$10:$E$25,0)))</f>
        <v>Terminé</v>
      </c>
      <c r="J310" s="24" t="str">
        <f aca="false">IF(H310&gt;=TotalStations,"",INDEX($C$10:$C$25,MATCH(SUMPRODUCT(($A$10:$A$25&lt;&gt;"")*($D$10:$D$25&lt;=H310))+1,$E$10:$E$25,0)))</f>
        <v/>
      </c>
      <c r="K310" s="24" t="n">
        <f aca="false">IF(H310&gt;=TotalStations,0,IF(B310="Dédié",MIN(FLOOR(420/J310,1),(TotalStations-H310)),MIN(2,(TotalStations-H310))))</f>
        <v>0</v>
      </c>
      <c r="L310" s="24" t="n">
        <f aca="false">H310+K310</f>
        <v>199</v>
      </c>
      <c r="M310" s="24" t="n">
        <f aca="false">Q309</f>
        <v>199</v>
      </c>
      <c r="N310" s="24" t="str">
        <f aca="false">IF(M310&gt;=TotalStations,"Terminé",INDEX($A$10:$A$25,MATCH(SUMPRODUCT(($A$10:$A$25&lt;&gt;"")*($D$10:$D$25&lt;=M310))+1,$E$10:$E$25,0)))</f>
        <v>Terminé</v>
      </c>
      <c r="O310" s="24" t="str">
        <f aca="false">IF(M310&gt;=TotalStations,"",INDEX($C$10:$C$25,MATCH(SUMPRODUCT(($A$10:$A$25&lt;&gt;"")*($D$10:$D$25&lt;=M310))+1,$E$10:$E$25,0)))</f>
        <v/>
      </c>
      <c r="P310" s="24" t="n">
        <f aca="false">IF(M310&gt;=TotalStations,0,MIN(FLOOR(420/O310,1),(TotalStations-M310)))</f>
        <v>0</v>
      </c>
      <c r="Q310" s="24" t="n">
        <f aca="false">M310+P310</f>
        <v>199</v>
      </c>
    </row>
    <row r="311" customFormat="false" ht="15" hidden="false" customHeight="true" outlineLevel="0" collapsed="false">
      <c r="A311" s="37" t="n">
        <f aca="false">WORKDAY(A310,1)</f>
        <v>46608</v>
      </c>
      <c r="B311" s="24" t="str">
        <f aca="false">IF(COUNTIF($B$5:$F$5,A311)&gt;0,"Dédié","Normal")</f>
        <v>Normal</v>
      </c>
      <c r="C311" s="24" t="n">
        <f aca="false">G310</f>
        <v>199</v>
      </c>
      <c r="D311" s="24" t="str">
        <f aca="false">IF(C311&gt;=TotalStations,"Terminé",INDEX($A$10:$A$25,MATCH(SUMPRODUCT(($A$10:$A$25&lt;&gt;"")*($D$10:$D$25&lt;=C311))+1,$E$10:$E$25,0)))</f>
        <v>Terminé</v>
      </c>
      <c r="E311" s="24" t="str">
        <f aca="false">IF(C311&gt;=TotalStations,"",INDEX($C$10:$C$25,MATCH(SUMPRODUCT(($A$10:$A$25&lt;&gt;"")*($D$10:$D$25&lt;=C311))+1,$E$10:$E$25,0)))</f>
        <v/>
      </c>
      <c r="F311" s="24" t="n">
        <f aca="false">IF(C311&gt;=TotalStations,0,IF(B311="Dédié",MIN(FLOOR(420/E311,1),(TotalStations-C311)),MIN(1,(TotalStations-C311))))</f>
        <v>0</v>
      </c>
      <c r="G311" s="24" t="n">
        <f aca="false">C311+F311</f>
        <v>199</v>
      </c>
      <c r="H311" s="24" t="n">
        <f aca="false">L310</f>
        <v>199</v>
      </c>
      <c r="I311" s="24" t="str">
        <f aca="false">IF(H311&gt;=TotalStations,"Terminé",INDEX($A$10:$A$25,MATCH(SUMPRODUCT(($A$10:$A$25&lt;&gt;"")*($D$10:$D$25&lt;=H311))+1,$E$10:$E$25,0)))</f>
        <v>Terminé</v>
      </c>
      <c r="J311" s="24" t="str">
        <f aca="false">IF(H311&gt;=TotalStations,"",INDEX($C$10:$C$25,MATCH(SUMPRODUCT(($A$10:$A$25&lt;&gt;"")*($D$10:$D$25&lt;=H311))+1,$E$10:$E$25,0)))</f>
        <v/>
      </c>
      <c r="K311" s="24" t="n">
        <f aca="false">IF(H311&gt;=TotalStations,0,IF(B311="Dédié",MIN(FLOOR(420/J311,1),(TotalStations-H311)),MIN(2,(TotalStations-H311))))</f>
        <v>0</v>
      </c>
      <c r="L311" s="24" t="n">
        <f aca="false">H311+K311</f>
        <v>199</v>
      </c>
      <c r="M311" s="24" t="n">
        <f aca="false">Q310</f>
        <v>199</v>
      </c>
      <c r="N311" s="24" t="str">
        <f aca="false">IF(M311&gt;=TotalStations,"Terminé",INDEX($A$10:$A$25,MATCH(SUMPRODUCT(($A$10:$A$25&lt;&gt;"")*($D$10:$D$25&lt;=M311))+1,$E$10:$E$25,0)))</f>
        <v>Terminé</v>
      </c>
      <c r="O311" s="24" t="str">
        <f aca="false">IF(M311&gt;=TotalStations,"",INDEX($C$10:$C$25,MATCH(SUMPRODUCT(($A$10:$A$25&lt;&gt;"")*($D$10:$D$25&lt;=M311))+1,$E$10:$E$25,0)))</f>
        <v/>
      </c>
      <c r="P311" s="24" t="n">
        <f aca="false">IF(M311&gt;=TotalStations,0,MIN(FLOOR(420/O311,1),(TotalStations-M311)))</f>
        <v>0</v>
      </c>
      <c r="Q311" s="24" t="n">
        <f aca="false">M311+P311</f>
        <v>199</v>
      </c>
    </row>
    <row r="312" customFormat="false" ht="15" hidden="false" customHeight="true" outlineLevel="0" collapsed="false">
      <c r="A312" s="37" t="n">
        <f aca="false">WORKDAY(A311,1)</f>
        <v>46609</v>
      </c>
      <c r="B312" s="24" t="str">
        <f aca="false">IF(COUNTIF($B$5:$F$5,A312)&gt;0,"Dédié","Normal")</f>
        <v>Normal</v>
      </c>
      <c r="C312" s="24" t="n">
        <f aca="false">G311</f>
        <v>199</v>
      </c>
      <c r="D312" s="24" t="str">
        <f aca="false">IF(C312&gt;=TotalStations,"Terminé",INDEX($A$10:$A$25,MATCH(SUMPRODUCT(($A$10:$A$25&lt;&gt;"")*($D$10:$D$25&lt;=C312))+1,$E$10:$E$25,0)))</f>
        <v>Terminé</v>
      </c>
      <c r="E312" s="24" t="str">
        <f aca="false">IF(C312&gt;=TotalStations,"",INDEX($C$10:$C$25,MATCH(SUMPRODUCT(($A$10:$A$25&lt;&gt;"")*($D$10:$D$25&lt;=C312))+1,$E$10:$E$25,0)))</f>
        <v/>
      </c>
      <c r="F312" s="24" t="n">
        <f aca="false">IF(C312&gt;=TotalStations,0,IF(B312="Dédié",MIN(FLOOR(420/E312,1),(TotalStations-C312)),MIN(1,(TotalStations-C312))))</f>
        <v>0</v>
      </c>
      <c r="G312" s="24" t="n">
        <f aca="false">C312+F312</f>
        <v>199</v>
      </c>
      <c r="H312" s="24" t="n">
        <f aca="false">L311</f>
        <v>199</v>
      </c>
      <c r="I312" s="24" t="str">
        <f aca="false">IF(H312&gt;=TotalStations,"Terminé",INDEX($A$10:$A$25,MATCH(SUMPRODUCT(($A$10:$A$25&lt;&gt;"")*($D$10:$D$25&lt;=H312))+1,$E$10:$E$25,0)))</f>
        <v>Terminé</v>
      </c>
      <c r="J312" s="24" t="str">
        <f aca="false">IF(H312&gt;=TotalStations,"",INDEX($C$10:$C$25,MATCH(SUMPRODUCT(($A$10:$A$25&lt;&gt;"")*($D$10:$D$25&lt;=H312))+1,$E$10:$E$25,0)))</f>
        <v/>
      </c>
      <c r="K312" s="24" t="n">
        <f aca="false">IF(H312&gt;=TotalStations,0,IF(B312="Dédié",MIN(FLOOR(420/J312,1),(TotalStations-H312)),MIN(2,(TotalStations-H312))))</f>
        <v>0</v>
      </c>
      <c r="L312" s="24" t="n">
        <f aca="false">H312+K312</f>
        <v>199</v>
      </c>
      <c r="M312" s="24" t="n">
        <f aca="false">Q311</f>
        <v>199</v>
      </c>
      <c r="N312" s="24" t="str">
        <f aca="false">IF(M312&gt;=TotalStations,"Terminé",INDEX($A$10:$A$25,MATCH(SUMPRODUCT(($A$10:$A$25&lt;&gt;"")*($D$10:$D$25&lt;=M312))+1,$E$10:$E$25,0)))</f>
        <v>Terminé</v>
      </c>
      <c r="O312" s="24" t="str">
        <f aca="false">IF(M312&gt;=TotalStations,"",INDEX($C$10:$C$25,MATCH(SUMPRODUCT(($A$10:$A$25&lt;&gt;"")*($D$10:$D$25&lt;=M312))+1,$E$10:$E$25,0)))</f>
        <v/>
      </c>
      <c r="P312" s="24" t="n">
        <f aca="false">IF(M312&gt;=TotalStations,0,MIN(FLOOR(420/O312,1),(TotalStations-M312)))</f>
        <v>0</v>
      </c>
      <c r="Q312" s="24" t="n">
        <f aca="false">M312+P312</f>
        <v>199</v>
      </c>
    </row>
    <row r="313" customFormat="false" ht="15" hidden="false" customHeight="true" outlineLevel="0" collapsed="false">
      <c r="A313" s="37" t="n">
        <f aca="false">WORKDAY(A312,1)</f>
        <v>46610</v>
      </c>
      <c r="B313" s="24" t="str">
        <f aca="false">IF(COUNTIF($B$5:$F$5,A313)&gt;0,"Dédié","Normal")</f>
        <v>Normal</v>
      </c>
      <c r="C313" s="24" t="n">
        <f aca="false">G312</f>
        <v>199</v>
      </c>
      <c r="D313" s="24" t="str">
        <f aca="false">IF(C313&gt;=TotalStations,"Terminé",INDEX($A$10:$A$25,MATCH(SUMPRODUCT(($A$10:$A$25&lt;&gt;"")*($D$10:$D$25&lt;=C313))+1,$E$10:$E$25,0)))</f>
        <v>Terminé</v>
      </c>
      <c r="E313" s="24" t="str">
        <f aca="false">IF(C313&gt;=TotalStations,"",INDEX($C$10:$C$25,MATCH(SUMPRODUCT(($A$10:$A$25&lt;&gt;"")*($D$10:$D$25&lt;=C313))+1,$E$10:$E$25,0)))</f>
        <v/>
      </c>
      <c r="F313" s="24" t="n">
        <f aca="false">IF(C313&gt;=TotalStations,0,IF(B313="Dédié",MIN(FLOOR(420/E313,1),(TotalStations-C313)),MIN(1,(TotalStations-C313))))</f>
        <v>0</v>
      </c>
      <c r="G313" s="24" t="n">
        <f aca="false">C313+F313</f>
        <v>199</v>
      </c>
      <c r="H313" s="24" t="n">
        <f aca="false">L312</f>
        <v>199</v>
      </c>
      <c r="I313" s="24" t="str">
        <f aca="false">IF(H313&gt;=TotalStations,"Terminé",INDEX($A$10:$A$25,MATCH(SUMPRODUCT(($A$10:$A$25&lt;&gt;"")*($D$10:$D$25&lt;=H313))+1,$E$10:$E$25,0)))</f>
        <v>Terminé</v>
      </c>
      <c r="J313" s="24" t="str">
        <f aca="false">IF(H313&gt;=TotalStations,"",INDEX($C$10:$C$25,MATCH(SUMPRODUCT(($A$10:$A$25&lt;&gt;"")*($D$10:$D$25&lt;=H313))+1,$E$10:$E$25,0)))</f>
        <v/>
      </c>
      <c r="K313" s="24" t="n">
        <f aca="false">IF(H313&gt;=TotalStations,0,IF(B313="Dédié",MIN(FLOOR(420/J313,1),(TotalStations-H313)),MIN(2,(TotalStations-H313))))</f>
        <v>0</v>
      </c>
      <c r="L313" s="24" t="n">
        <f aca="false">H313+K313</f>
        <v>199</v>
      </c>
      <c r="M313" s="24" t="n">
        <f aca="false">Q312</f>
        <v>199</v>
      </c>
      <c r="N313" s="24" t="str">
        <f aca="false">IF(M313&gt;=TotalStations,"Terminé",INDEX($A$10:$A$25,MATCH(SUMPRODUCT(($A$10:$A$25&lt;&gt;"")*($D$10:$D$25&lt;=M313))+1,$E$10:$E$25,0)))</f>
        <v>Terminé</v>
      </c>
      <c r="O313" s="24" t="str">
        <f aca="false">IF(M313&gt;=TotalStations,"",INDEX($C$10:$C$25,MATCH(SUMPRODUCT(($A$10:$A$25&lt;&gt;"")*($D$10:$D$25&lt;=M313))+1,$E$10:$E$25,0)))</f>
        <v/>
      </c>
      <c r="P313" s="24" t="n">
        <f aca="false">IF(M313&gt;=TotalStations,0,MIN(FLOOR(420/O313,1),(TotalStations-M313)))</f>
        <v>0</v>
      </c>
      <c r="Q313" s="24" t="n">
        <f aca="false">M313+P313</f>
        <v>199</v>
      </c>
    </row>
    <row r="314" customFormat="false" ht="15" hidden="false" customHeight="true" outlineLevel="0" collapsed="false">
      <c r="A314" s="37" t="n">
        <f aca="false">WORKDAY(A313,1)</f>
        <v>46611</v>
      </c>
      <c r="B314" s="24" t="str">
        <f aca="false">IF(COUNTIF($B$5:$F$5,A314)&gt;0,"Dédié","Normal")</f>
        <v>Normal</v>
      </c>
      <c r="C314" s="24" t="n">
        <f aca="false">G313</f>
        <v>199</v>
      </c>
      <c r="D314" s="24" t="str">
        <f aca="false">IF(C314&gt;=TotalStations,"Terminé",INDEX($A$10:$A$25,MATCH(SUMPRODUCT(($A$10:$A$25&lt;&gt;"")*($D$10:$D$25&lt;=C314))+1,$E$10:$E$25,0)))</f>
        <v>Terminé</v>
      </c>
      <c r="E314" s="24" t="str">
        <f aca="false">IF(C314&gt;=TotalStations,"",INDEX($C$10:$C$25,MATCH(SUMPRODUCT(($A$10:$A$25&lt;&gt;"")*($D$10:$D$25&lt;=C314))+1,$E$10:$E$25,0)))</f>
        <v/>
      </c>
      <c r="F314" s="24" t="n">
        <f aca="false">IF(C314&gt;=TotalStations,0,IF(B314="Dédié",MIN(FLOOR(420/E314,1),(TotalStations-C314)),MIN(1,(TotalStations-C314))))</f>
        <v>0</v>
      </c>
      <c r="G314" s="24" t="n">
        <f aca="false">C314+F314</f>
        <v>199</v>
      </c>
      <c r="H314" s="24" t="n">
        <f aca="false">L313</f>
        <v>199</v>
      </c>
      <c r="I314" s="24" t="str">
        <f aca="false">IF(H314&gt;=TotalStations,"Terminé",INDEX($A$10:$A$25,MATCH(SUMPRODUCT(($A$10:$A$25&lt;&gt;"")*($D$10:$D$25&lt;=H314))+1,$E$10:$E$25,0)))</f>
        <v>Terminé</v>
      </c>
      <c r="J314" s="24" t="str">
        <f aca="false">IF(H314&gt;=TotalStations,"",INDEX($C$10:$C$25,MATCH(SUMPRODUCT(($A$10:$A$25&lt;&gt;"")*($D$10:$D$25&lt;=H314))+1,$E$10:$E$25,0)))</f>
        <v/>
      </c>
      <c r="K314" s="24" t="n">
        <f aca="false">IF(H314&gt;=TotalStations,0,IF(B314="Dédié",MIN(FLOOR(420/J314,1),(TotalStations-H314)),MIN(2,(TotalStations-H314))))</f>
        <v>0</v>
      </c>
      <c r="L314" s="24" t="n">
        <f aca="false">H314+K314</f>
        <v>199</v>
      </c>
      <c r="M314" s="24" t="n">
        <f aca="false">Q313</f>
        <v>199</v>
      </c>
      <c r="N314" s="24" t="str">
        <f aca="false">IF(M314&gt;=TotalStations,"Terminé",INDEX($A$10:$A$25,MATCH(SUMPRODUCT(($A$10:$A$25&lt;&gt;"")*($D$10:$D$25&lt;=M314))+1,$E$10:$E$25,0)))</f>
        <v>Terminé</v>
      </c>
      <c r="O314" s="24" t="str">
        <f aca="false">IF(M314&gt;=TotalStations,"",INDEX($C$10:$C$25,MATCH(SUMPRODUCT(($A$10:$A$25&lt;&gt;"")*($D$10:$D$25&lt;=M314))+1,$E$10:$E$25,0)))</f>
        <v/>
      </c>
      <c r="P314" s="24" t="n">
        <f aca="false">IF(M314&gt;=TotalStations,0,MIN(FLOOR(420/O314,1),(TotalStations-M314)))</f>
        <v>0</v>
      </c>
      <c r="Q314" s="24" t="n">
        <f aca="false">M314+P314</f>
        <v>199</v>
      </c>
    </row>
    <row r="315" customFormat="false" ht="15" hidden="false" customHeight="true" outlineLevel="0" collapsed="false">
      <c r="A315" s="37" t="n">
        <f aca="false">WORKDAY(A314,1)</f>
        <v>46612</v>
      </c>
      <c r="B315" s="24" t="str">
        <f aca="false">IF(COUNTIF($B$5:$F$5,A315)&gt;0,"Dédié","Normal")</f>
        <v>Normal</v>
      </c>
      <c r="C315" s="24" t="n">
        <f aca="false">G314</f>
        <v>199</v>
      </c>
      <c r="D315" s="24" t="str">
        <f aca="false">IF(C315&gt;=TotalStations,"Terminé",INDEX($A$10:$A$25,MATCH(SUMPRODUCT(($A$10:$A$25&lt;&gt;"")*($D$10:$D$25&lt;=C315))+1,$E$10:$E$25,0)))</f>
        <v>Terminé</v>
      </c>
      <c r="E315" s="24" t="str">
        <f aca="false">IF(C315&gt;=TotalStations,"",INDEX($C$10:$C$25,MATCH(SUMPRODUCT(($A$10:$A$25&lt;&gt;"")*($D$10:$D$25&lt;=C315))+1,$E$10:$E$25,0)))</f>
        <v/>
      </c>
      <c r="F315" s="24" t="n">
        <f aca="false">IF(C315&gt;=TotalStations,0,IF(B315="Dédié",MIN(FLOOR(420/E315,1),(TotalStations-C315)),MIN(1,(TotalStations-C315))))</f>
        <v>0</v>
      </c>
      <c r="G315" s="24" t="n">
        <f aca="false">C315+F315</f>
        <v>199</v>
      </c>
      <c r="H315" s="24" t="n">
        <f aca="false">L314</f>
        <v>199</v>
      </c>
      <c r="I315" s="24" t="str">
        <f aca="false">IF(H315&gt;=TotalStations,"Terminé",INDEX($A$10:$A$25,MATCH(SUMPRODUCT(($A$10:$A$25&lt;&gt;"")*($D$10:$D$25&lt;=H315))+1,$E$10:$E$25,0)))</f>
        <v>Terminé</v>
      </c>
      <c r="J315" s="24" t="str">
        <f aca="false">IF(H315&gt;=TotalStations,"",INDEX($C$10:$C$25,MATCH(SUMPRODUCT(($A$10:$A$25&lt;&gt;"")*($D$10:$D$25&lt;=H315))+1,$E$10:$E$25,0)))</f>
        <v/>
      </c>
      <c r="K315" s="24" t="n">
        <f aca="false">IF(H315&gt;=TotalStations,0,IF(B315="Dédié",MIN(FLOOR(420/J315,1),(TotalStations-H315)),MIN(2,(TotalStations-H315))))</f>
        <v>0</v>
      </c>
      <c r="L315" s="24" t="n">
        <f aca="false">H315+K315</f>
        <v>199</v>
      </c>
      <c r="M315" s="24" t="n">
        <f aca="false">Q314</f>
        <v>199</v>
      </c>
      <c r="N315" s="24" t="str">
        <f aca="false">IF(M315&gt;=TotalStations,"Terminé",INDEX($A$10:$A$25,MATCH(SUMPRODUCT(($A$10:$A$25&lt;&gt;"")*($D$10:$D$25&lt;=M315))+1,$E$10:$E$25,0)))</f>
        <v>Terminé</v>
      </c>
      <c r="O315" s="24" t="str">
        <f aca="false">IF(M315&gt;=TotalStations,"",INDEX($C$10:$C$25,MATCH(SUMPRODUCT(($A$10:$A$25&lt;&gt;"")*($D$10:$D$25&lt;=M315))+1,$E$10:$E$25,0)))</f>
        <v/>
      </c>
      <c r="P315" s="24" t="n">
        <f aca="false">IF(M315&gt;=TotalStations,0,MIN(FLOOR(420/O315,1),(TotalStations-M315)))</f>
        <v>0</v>
      </c>
      <c r="Q315" s="24" t="n">
        <f aca="false">M315+P315</f>
        <v>199</v>
      </c>
    </row>
    <row r="316" customFormat="false" ht="15" hidden="false" customHeight="true" outlineLevel="0" collapsed="false">
      <c r="A316" s="37" t="n">
        <f aca="false">WORKDAY(A315,1)</f>
        <v>46615</v>
      </c>
      <c r="B316" s="24" t="str">
        <f aca="false">IF(COUNTIF($B$5:$F$5,A316)&gt;0,"Dédié","Normal")</f>
        <v>Normal</v>
      </c>
      <c r="C316" s="24" t="n">
        <f aca="false">G315</f>
        <v>199</v>
      </c>
      <c r="D316" s="24" t="str">
        <f aca="false">IF(C316&gt;=TotalStations,"Terminé",INDEX($A$10:$A$25,MATCH(SUMPRODUCT(($A$10:$A$25&lt;&gt;"")*($D$10:$D$25&lt;=C316))+1,$E$10:$E$25,0)))</f>
        <v>Terminé</v>
      </c>
      <c r="E316" s="24" t="str">
        <f aca="false">IF(C316&gt;=TotalStations,"",INDEX($C$10:$C$25,MATCH(SUMPRODUCT(($A$10:$A$25&lt;&gt;"")*($D$10:$D$25&lt;=C316))+1,$E$10:$E$25,0)))</f>
        <v/>
      </c>
      <c r="F316" s="24" t="n">
        <f aca="false">IF(C316&gt;=TotalStations,0,IF(B316="Dédié",MIN(FLOOR(420/E316,1),(TotalStations-C316)),MIN(1,(TotalStations-C316))))</f>
        <v>0</v>
      </c>
      <c r="G316" s="24" t="n">
        <f aca="false">C316+F316</f>
        <v>199</v>
      </c>
      <c r="H316" s="24" t="n">
        <f aca="false">L315</f>
        <v>199</v>
      </c>
      <c r="I316" s="24" t="str">
        <f aca="false">IF(H316&gt;=TotalStations,"Terminé",INDEX($A$10:$A$25,MATCH(SUMPRODUCT(($A$10:$A$25&lt;&gt;"")*($D$10:$D$25&lt;=H316))+1,$E$10:$E$25,0)))</f>
        <v>Terminé</v>
      </c>
      <c r="J316" s="24" t="str">
        <f aca="false">IF(H316&gt;=TotalStations,"",INDEX($C$10:$C$25,MATCH(SUMPRODUCT(($A$10:$A$25&lt;&gt;"")*($D$10:$D$25&lt;=H316))+1,$E$10:$E$25,0)))</f>
        <v/>
      </c>
      <c r="K316" s="24" t="n">
        <f aca="false">IF(H316&gt;=TotalStations,0,IF(B316="Dédié",MIN(FLOOR(420/J316,1),(TotalStations-H316)),MIN(2,(TotalStations-H316))))</f>
        <v>0</v>
      </c>
      <c r="L316" s="24" t="n">
        <f aca="false">H316+K316</f>
        <v>199</v>
      </c>
      <c r="M316" s="24" t="n">
        <f aca="false">Q315</f>
        <v>199</v>
      </c>
      <c r="N316" s="24" t="str">
        <f aca="false">IF(M316&gt;=TotalStations,"Terminé",INDEX($A$10:$A$25,MATCH(SUMPRODUCT(($A$10:$A$25&lt;&gt;"")*($D$10:$D$25&lt;=M316))+1,$E$10:$E$25,0)))</f>
        <v>Terminé</v>
      </c>
      <c r="O316" s="24" t="str">
        <f aca="false">IF(M316&gt;=TotalStations,"",INDEX($C$10:$C$25,MATCH(SUMPRODUCT(($A$10:$A$25&lt;&gt;"")*($D$10:$D$25&lt;=M316))+1,$E$10:$E$25,0)))</f>
        <v/>
      </c>
      <c r="P316" s="24" t="n">
        <f aca="false">IF(M316&gt;=TotalStations,0,MIN(FLOOR(420/O316,1),(TotalStations-M316)))</f>
        <v>0</v>
      </c>
      <c r="Q316" s="24" t="n">
        <f aca="false">M316+P316</f>
        <v>199</v>
      </c>
    </row>
    <row r="317" customFormat="false" ht="15" hidden="false" customHeight="true" outlineLevel="0" collapsed="false">
      <c r="A317" s="37" t="n">
        <f aca="false">WORKDAY(A316,1)</f>
        <v>46616</v>
      </c>
      <c r="B317" s="24" t="str">
        <f aca="false">IF(COUNTIF($B$5:$F$5,A317)&gt;0,"Dédié","Normal")</f>
        <v>Normal</v>
      </c>
      <c r="C317" s="24" t="n">
        <f aca="false">G316</f>
        <v>199</v>
      </c>
      <c r="D317" s="24" t="str">
        <f aca="false">IF(C317&gt;=TotalStations,"Terminé",INDEX($A$10:$A$25,MATCH(SUMPRODUCT(($A$10:$A$25&lt;&gt;"")*($D$10:$D$25&lt;=C317))+1,$E$10:$E$25,0)))</f>
        <v>Terminé</v>
      </c>
      <c r="E317" s="24" t="str">
        <f aca="false">IF(C317&gt;=TotalStations,"",INDEX($C$10:$C$25,MATCH(SUMPRODUCT(($A$10:$A$25&lt;&gt;"")*($D$10:$D$25&lt;=C317))+1,$E$10:$E$25,0)))</f>
        <v/>
      </c>
      <c r="F317" s="24" t="n">
        <f aca="false">IF(C317&gt;=TotalStations,0,IF(B317="Dédié",MIN(FLOOR(420/E317,1),(TotalStations-C317)),MIN(1,(TotalStations-C317))))</f>
        <v>0</v>
      </c>
      <c r="G317" s="24" t="n">
        <f aca="false">C317+F317</f>
        <v>199</v>
      </c>
      <c r="H317" s="24" t="n">
        <f aca="false">L316</f>
        <v>199</v>
      </c>
      <c r="I317" s="24" t="str">
        <f aca="false">IF(H317&gt;=TotalStations,"Terminé",INDEX($A$10:$A$25,MATCH(SUMPRODUCT(($A$10:$A$25&lt;&gt;"")*($D$10:$D$25&lt;=H317))+1,$E$10:$E$25,0)))</f>
        <v>Terminé</v>
      </c>
      <c r="J317" s="24" t="str">
        <f aca="false">IF(H317&gt;=TotalStations,"",INDEX($C$10:$C$25,MATCH(SUMPRODUCT(($A$10:$A$25&lt;&gt;"")*($D$10:$D$25&lt;=H317))+1,$E$10:$E$25,0)))</f>
        <v/>
      </c>
      <c r="K317" s="24" t="n">
        <f aca="false">IF(H317&gt;=TotalStations,0,IF(B317="Dédié",MIN(FLOOR(420/J317,1),(TotalStations-H317)),MIN(2,(TotalStations-H317))))</f>
        <v>0</v>
      </c>
      <c r="L317" s="24" t="n">
        <f aca="false">H317+K317</f>
        <v>199</v>
      </c>
      <c r="M317" s="24" t="n">
        <f aca="false">Q316</f>
        <v>199</v>
      </c>
      <c r="N317" s="24" t="str">
        <f aca="false">IF(M317&gt;=TotalStations,"Terminé",INDEX($A$10:$A$25,MATCH(SUMPRODUCT(($A$10:$A$25&lt;&gt;"")*($D$10:$D$25&lt;=M317))+1,$E$10:$E$25,0)))</f>
        <v>Terminé</v>
      </c>
      <c r="O317" s="24" t="str">
        <f aca="false">IF(M317&gt;=TotalStations,"",INDEX($C$10:$C$25,MATCH(SUMPRODUCT(($A$10:$A$25&lt;&gt;"")*($D$10:$D$25&lt;=M317))+1,$E$10:$E$25,0)))</f>
        <v/>
      </c>
      <c r="P317" s="24" t="n">
        <f aca="false">IF(M317&gt;=TotalStations,0,MIN(FLOOR(420/O317,1),(TotalStations-M317)))</f>
        <v>0</v>
      </c>
      <c r="Q317" s="24" t="n">
        <f aca="false">M317+P317</f>
        <v>199</v>
      </c>
    </row>
    <row r="318" customFormat="false" ht="15" hidden="false" customHeight="true" outlineLevel="0" collapsed="false">
      <c r="A318" s="37" t="n">
        <f aca="false">WORKDAY(A317,1)</f>
        <v>46617</v>
      </c>
      <c r="B318" s="24" t="str">
        <f aca="false">IF(COUNTIF($B$5:$F$5,A318)&gt;0,"Dédié","Normal")</f>
        <v>Normal</v>
      </c>
      <c r="C318" s="24" t="n">
        <f aca="false">G317</f>
        <v>199</v>
      </c>
      <c r="D318" s="24" t="str">
        <f aca="false">IF(C318&gt;=TotalStations,"Terminé",INDEX($A$10:$A$25,MATCH(SUMPRODUCT(($A$10:$A$25&lt;&gt;"")*($D$10:$D$25&lt;=C318))+1,$E$10:$E$25,0)))</f>
        <v>Terminé</v>
      </c>
      <c r="E318" s="24" t="str">
        <f aca="false">IF(C318&gt;=TotalStations,"",INDEX($C$10:$C$25,MATCH(SUMPRODUCT(($A$10:$A$25&lt;&gt;"")*($D$10:$D$25&lt;=C318))+1,$E$10:$E$25,0)))</f>
        <v/>
      </c>
      <c r="F318" s="24" t="n">
        <f aca="false">IF(C318&gt;=TotalStations,0,IF(B318="Dédié",MIN(FLOOR(420/E318,1),(TotalStations-C318)),MIN(1,(TotalStations-C318))))</f>
        <v>0</v>
      </c>
      <c r="G318" s="24" t="n">
        <f aca="false">C318+F318</f>
        <v>199</v>
      </c>
      <c r="H318" s="24" t="n">
        <f aca="false">L317</f>
        <v>199</v>
      </c>
      <c r="I318" s="24" t="str">
        <f aca="false">IF(H318&gt;=TotalStations,"Terminé",INDEX($A$10:$A$25,MATCH(SUMPRODUCT(($A$10:$A$25&lt;&gt;"")*($D$10:$D$25&lt;=H318))+1,$E$10:$E$25,0)))</f>
        <v>Terminé</v>
      </c>
      <c r="J318" s="24" t="str">
        <f aca="false">IF(H318&gt;=TotalStations,"",INDEX($C$10:$C$25,MATCH(SUMPRODUCT(($A$10:$A$25&lt;&gt;"")*($D$10:$D$25&lt;=H318))+1,$E$10:$E$25,0)))</f>
        <v/>
      </c>
      <c r="K318" s="24" t="n">
        <f aca="false">IF(H318&gt;=TotalStations,0,IF(B318="Dédié",MIN(FLOOR(420/J318,1),(TotalStations-H318)),MIN(2,(TotalStations-H318))))</f>
        <v>0</v>
      </c>
      <c r="L318" s="24" t="n">
        <f aca="false">H318+K318</f>
        <v>199</v>
      </c>
      <c r="M318" s="24" t="n">
        <f aca="false">Q317</f>
        <v>199</v>
      </c>
      <c r="N318" s="24" t="str">
        <f aca="false">IF(M318&gt;=TotalStations,"Terminé",INDEX($A$10:$A$25,MATCH(SUMPRODUCT(($A$10:$A$25&lt;&gt;"")*($D$10:$D$25&lt;=M318))+1,$E$10:$E$25,0)))</f>
        <v>Terminé</v>
      </c>
      <c r="O318" s="24" t="str">
        <f aca="false">IF(M318&gt;=TotalStations,"",INDEX($C$10:$C$25,MATCH(SUMPRODUCT(($A$10:$A$25&lt;&gt;"")*($D$10:$D$25&lt;=M318))+1,$E$10:$E$25,0)))</f>
        <v/>
      </c>
      <c r="P318" s="24" t="n">
        <f aca="false">IF(M318&gt;=TotalStations,0,MIN(FLOOR(420/O318,1),(TotalStations-M318)))</f>
        <v>0</v>
      </c>
      <c r="Q318" s="24" t="n">
        <f aca="false">M318+P318</f>
        <v>199</v>
      </c>
    </row>
    <row r="319" customFormat="false" ht="15" hidden="false" customHeight="true" outlineLevel="0" collapsed="false">
      <c r="A319" s="37" t="n">
        <f aca="false">WORKDAY(A318,1)</f>
        <v>46618</v>
      </c>
      <c r="B319" s="24" t="str">
        <f aca="false">IF(COUNTIF($B$5:$F$5,A319)&gt;0,"Dédié","Normal")</f>
        <v>Normal</v>
      </c>
      <c r="C319" s="24" t="n">
        <f aca="false">G318</f>
        <v>199</v>
      </c>
      <c r="D319" s="24" t="str">
        <f aca="false">IF(C319&gt;=TotalStations,"Terminé",INDEX($A$10:$A$25,MATCH(SUMPRODUCT(($A$10:$A$25&lt;&gt;"")*($D$10:$D$25&lt;=C319))+1,$E$10:$E$25,0)))</f>
        <v>Terminé</v>
      </c>
      <c r="E319" s="24" t="str">
        <f aca="false">IF(C319&gt;=TotalStations,"",INDEX($C$10:$C$25,MATCH(SUMPRODUCT(($A$10:$A$25&lt;&gt;"")*($D$10:$D$25&lt;=C319))+1,$E$10:$E$25,0)))</f>
        <v/>
      </c>
      <c r="F319" s="24" t="n">
        <f aca="false">IF(C319&gt;=TotalStations,0,IF(B319="Dédié",MIN(FLOOR(420/E319,1),(TotalStations-C319)),MIN(1,(TotalStations-C319))))</f>
        <v>0</v>
      </c>
      <c r="G319" s="24" t="n">
        <f aca="false">C319+F319</f>
        <v>199</v>
      </c>
      <c r="H319" s="24" t="n">
        <f aca="false">L318</f>
        <v>199</v>
      </c>
      <c r="I319" s="24" t="str">
        <f aca="false">IF(H319&gt;=TotalStations,"Terminé",INDEX($A$10:$A$25,MATCH(SUMPRODUCT(($A$10:$A$25&lt;&gt;"")*($D$10:$D$25&lt;=H319))+1,$E$10:$E$25,0)))</f>
        <v>Terminé</v>
      </c>
      <c r="J319" s="24" t="str">
        <f aca="false">IF(H319&gt;=TotalStations,"",INDEX($C$10:$C$25,MATCH(SUMPRODUCT(($A$10:$A$25&lt;&gt;"")*($D$10:$D$25&lt;=H319))+1,$E$10:$E$25,0)))</f>
        <v/>
      </c>
      <c r="K319" s="24" t="n">
        <f aca="false">IF(H319&gt;=TotalStations,0,IF(B319="Dédié",MIN(FLOOR(420/J319,1),(TotalStations-H319)),MIN(2,(TotalStations-H319))))</f>
        <v>0</v>
      </c>
      <c r="L319" s="24" t="n">
        <f aca="false">H319+K319</f>
        <v>199</v>
      </c>
      <c r="M319" s="24" t="n">
        <f aca="false">Q318</f>
        <v>199</v>
      </c>
      <c r="N319" s="24" t="str">
        <f aca="false">IF(M319&gt;=TotalStations,"Terminé",INDEX($A$10:$A$25,MATCH(SUMPRODUCT(($A$10:$A$25&lt;&gt;"")*($D$10:$D$25&lt;=M319))+1,$E$10:$E$25,0)))</f>
        <v>Terminé</v>
      </c>
      <c r="O319" s="24" t="str">
        <f aca="false">IF(M319&gt;=TotalStations,"",INDEX($C$10:$C$25,MATCH(SUMPRODUCT(($A$10:$A$25&lt;&gt;"")*($D$10:$D$25&lt;=M319))+1,$E$10:$E$25,0)))</f>
        <v/>
      </c>
      <c r="P319" s="24" t="n">
        <f aca="false">IF(M319&gt;=TotalStations,0,MIN(FLOOR(420/O319,1),(TotalStations-M319)))</f>
        <v>0</v>
      </c>
      <c r="Q319" s="24" t="n">
        <f aca="false">M319+P319</f>
        <v>199</v>
      </c>
    </row>
    <row r="320" customFormat="false" ht="15" hidden="false" customHeight="true" outlineLevel="0" collapsed="false">
      <c r="A320" s="37" t="n">
        <f aca="false">WORKDAY(A319,1)</f>
        <v>46619</v>
      </c>
      <c r="B320" s="24" t="str">
        <f aca="false">IF(COUNTIF($B$5:$F$5,A320)&gt;0,"Dédié","Normal")</f>
        <v>Normal</v>
      </c>
      <c r="C320" s="24" t="n">
        <f aca="false">G319</f>
        <v>199</v>
      </c>
      <c r="D320" s="24" t="str">
        <f aca="false">IF(C320&gt;=TotalStations,"Terminé",INDEX($A$10:$A$25,MATCH(SUMPRODUCT(($A$10:$A$25&lt;&gt;"")*($D$10:$D$25&lt;=C320))+1,$E$10:$E$25,0)))</f>
        <v>Terminé</v>
      </c>
      <c r="E320" s="24" t="str">
        <f aca="false">IF(C320&gt;=TotalStations,"",INDEX($C$10:$C$25,MATCH(SUMPRODUCT(($A$10:$A$25&lt;&gt;"")*($D$10:$D$25&lt;=C320))+1,$E$10:$E$25,0)))</f>
        <v/>
      </c>
      <c r="F320" s="24" t="n">
        <f aca="false">IF(C320&gt;=TotalStations,0,IF(B320="Dédié",MIN(FLOOR(420/E320,1),(TotalStations-C320)),MIN(1,(TotalStations-C320))))</f>
        <v>0</v>
      </c>
      <c r="G320" s="24" t="n">
        <f aca="false">C320+F320</f>
        <v>199</v>
      </c>
      <c r="H320" s="24" t="n">
        <f aca="false">L319</f>
        <v>199</v>
      </c>
      <c r="I320" s="24" t="str">
        <f aca="false">IF(H320&gt;=TotalStations,"Terminé",INDEX($A$10:$A$25,MATCH(SUMPRODUCT(($A$10:$A$25&lt;&gt;"")*($D$10:$D$25&lt;=H320))+1,$E$10:$E$25,0)))</f>
        <v>Terminé</v>
      </c>
      <c r="J320" s="24" t="str">
        <f aca="false">IF(H320&gt;=TotalStations,"",INDEX($C$10:$C$25,MATCH(SUMPRODUCT(($A$10:$A$25&lt;&gt;"")*($D$10:$D$25&lt;=H320))+1,$E$10:$E$25,0)))</f>
        <v/>
      </c>
      <c r="K320" s="24" t="n">
        <f aca="false">IF(H320&gt;=TotalStations,0,IF(B320="Dédié",MIN(FLOOR(420/J320,1),(TotalStations-H320)),MIN(2,(TotalStations-H320))))</f>
        <v>0</v>
      </c>
      <c r="L320" s="24" t="n">
        <f aca="false">H320+K320</f>
        <v>199</v>
      </c>
      <c r="M320" s="24" t="n">
        <f aca="false">Q319</f>
        <v>199</v>
      </c>
      <c r="N320" s="24" t="str">
        <f aca="false">IF(M320&gt;=TotalStations,"Terminé",INDEX($A$10:$A$25,MATCH(SUMPRODUCT(($A$10:$A$25&lt;&gt;"")*($D$10:$D$25&lt;=M320))+1,$E$10:$E$25,0)))</f>
        <v>Terminé</v>
      </c>
      <c r="O320" s="24" t="str">
        <f aca="false">IF(M320&gt;=TotalStations,"",INDEX($C$10:$C$25,MATCH(SUMPRODUCT(($A$10:$A$25&lt;&gt;"")*($D$10:$D$25&lt;=M320))+1,$E$10:$E$25,0)))</f>
        <v/>
      </c>
      <c r="P320" s="24" t="n">
        <f aca="false">IF(M320&gt;=TotalStations,0,MIN(FLOOR(420/O320,1),(TotalStations-M320)))</f>
        <v>0</v>
      </c>
      <c r="Q320" s="24" t="n">
        <f aca="false">M320+P320</f>
        <v>199</v>
      </c>
    </row>
    <row r="321" customFormat="false" ht="15" hidden="false" customHeight="true" outlineLevel="0" collapsed="false">
      <c r="A321" s="37" t="n">
        <f aca="false">WORKDAY(A320,1)</f>
        <v>46622</v>
      </c>
      <c r="B321" s="24" t="str">
        <f aca="false">IF(COUNTIF($B$5:$F$5,A321)&gt;0,"Dédié","Normal")</f>
        <v>Normal</v>
      </c>
      <c r="C321" s="24" t="n">
        <f aca="false">G320</f>
        <v>199</v>
      </c>
      <c r="D321" s="24" t="str">
        <f aca="false">IF(C321&gt;=TotalStations,"Terminé",INDEX($A$10:$A$25,MATCH(SUMPRODUCT(($A$10:$A$25&lt;&gt;"")*($D$10:$D$25&lt;=C321))+1,$E$10:$E$25,0)))</f>
        <v>Terminé</v>
      </c>
      <c r="E321" s="24" t="str">
        <f aca="false">IF(C321&gt;=TotalStations,"",INDEX($C$10:$C$25,MATCH(SUMPRODUCT(($A$10:$A$25&lt;&gt;"")*($D$10:$D$25&lt;=C321))+1,$E$10:$E$25,0)))</f>
        <v/>
      </c>
      <c r="F321" s="24" t="n">
        <f aca="false">IF(C321&gt;=TotalStations,0,IF(B321="Dédié",MIN(FLOOR(420/E321,1),(TotalStations-C321)),MIN(1,(TotalStations-C321))))</f>
        <v>0</v>
      </c>
      <c r="G321" s="24" t="n">
        <f aca="false">C321+F321</f>
        <v>199</v>
      </c>
      <c r="H321" s="24" t="n">
        <f aca="false">L320</f>
        <v>199</v>
      </c>
      <c r="I321" s="24" t="str">
        <f aca="false">IF(H321&gt;=TotalStations,"Terminé",INDEX($A$10:$A$25,MATCH(SUMPRODUCT(($A$10:$A$25&lt;&gt;"")*($D$10:$D$25&lt;=H321))+1,$E$10:$E$25,0)))</f>
        <v>Terminé</v>
      </c>
      <c r="J321" s="24" t="str">
        <f aca="false">IF(H321&gt;=TotalStations,"",INDEX($C$10:$C$25,MATCH(SUMPRODUCT(($A$10:$A$25&lt;&gt;"")*($D$10:$D$25&lt;=H321))+1,$E$10:$E$25,0)))</f>
        <v/>
      </c>
      <c r="K321" s="24" t="n">
        <f aca="false">IF(H321&gt;=TotalStations,0,IF(B321="Dédié",MIN(FLOOR(420/J321,1),(TotalStations-H321)),MIN(2,(TotalStations-H321))))</f>
        <v>0</v>
      </c>
      <c r="L321" s="24" t="n">
        <f aca="false">H321+K321</f>
        <v>199</v>
      </c>
      <c r="M321" s="24" t="n">
        <f aca="false">Q320</f>
        <v>199</v>
      </c>
      <c r="N321" s="24" t="str">
        <f aca="false">IF(M321&gt;=TotalStations,"Terminé",INDEX($A$10:$A$25,MATCH(SUMPRODUCT(($A$10:$A$25&lt;&gt;"")*($D$10:$D$25&lt;=M321))+1,$E$10:$E$25,0)))</f>
        <v>Terminé</v>
      </c>
      <c r="O321" s="24" t="str">
        <f aca="false">IF(M321&gt;=TotalStations,"",INDEX($C$10:$C$25,MATCH(SUMPRODUCT(($A$10:$A$25&lt;&gt;"")*($D$10:$D$25&lt;=M321))+1,$E$10:$E$25,0)))</f>
        <v/>
      </c>
      <c r="P321" s="24" t="n">
        <f aca="false">IF(M321&gt;=TotalStations,0,MIN(FLOOR(420/O321,1),(TotalStations-M321)))</f>
        <v>0</v>
      </c>
      <c r="Q321" s="24" t="n">
        <f aca="false">M321+P321</f>
        <v>199</v>
      </c>
    </row>
    <row r="322" customFormat="false" ht="15" hidden="false" customHeight="true" outlineLevel="0" collapsed="false">
      <c r="A322" s="37" t="n">
        <f aca="false">WORKDAY(A321,1)</f>
        <v>46623</v>
      </c>
      <c r="B322" s="24" t="str">
        <f aca="false">IF(COUNTIF($B$5:$F$5,A322)&gt;0,"Dédié","Normal")</f>
        <v>Normal</v>
      </c>
      <c r="C322" s="24" t="n">
        <f aca="false">G321</f>
        <v>199</v>
      </c>
      <c r="D322" s="24" t="str">
        <f aca="false">IF(C322&gt;=TotalStations,"Terminé",INDEX($A$10:$A$25,MATCH(SUMPRODUCT(($A$10:$A$25&lt;&gt;"")*($D$10:$D$25&lt;=C322))+1,$E$10:$E$25,0)))</f>
        <v>Terminé</v>
      </c>
      <c r="E322" s="24" t="str">
        <f aca="false">IF(C322&gt;=TotalStations,"",INDEX($C$10:$C$25,MATCH(SUMPRODUCT(($A$10:$A$25&lt;&gt;"")*($D$10:$D$25&lt;=C322))+1,$E$10:$E$25,0)))</f>
        <v/>
      </c>
      <c r="F322" s="24" t="n">
        <f aca="false">IF(C322&gt;=TotalStations,0,IF(B322="Dédié",MIN(FLOOR(420/E322,1),(TotalStations-C322)),MIN(1,(TotalStations-C322))))</f>
        <v>0</v>
      </c>
      <c r="G322" s="24" t="n">
        <f aca="false">C322+F322</f>
        <v>199</v>
      </c>
      <c r="H322" s="24" t="n">
        <f aca="false">L321</f>
        <v>199</v>
      </c>
      <c r="I322" s="24" t="str">
        <f aca="false">IF(H322&gt;=TotalStations,"Terminé",INDEX($A$10:$A$25,MATCH(SUMPRODUCT(($A$10:$A$25&lt;&gt;"")*($D$10:$D$25&lt;=H322))+1,$E$10:$E$25,0)))</f>
        <v>Terminé</v>
      </c>
      <c r="J322" s="24" t="str">
        <f aca="false">IF(H322&gt;=TotalStations,"",INDEX($C$10:$C$25,MATCH(SUMPRODUCT(($A$10:$A$25&lt;&gt;"")*($D$10:$D$25&lt;=H322))+1,$E$10:$E$25,0)))</f>
        <v/>
      </c>
      <c r="K322" s="24" t="n">
        <f aca="false">IF(H322&gt;=TotalStations,0,IF(B322="Dédié",MIN(FLOOR(420/J322,1),(TotalStations-H322)),MIN(2,(TotalStations-H322))))</f>
        <v>0</v>
      </c>
      <c r="L322" s="24" t="n">
        <f aca="false">H322+K322</f>
        <v>199</v>
      </c>
      <c r="M322" s="24" t="n">
        <f aca="false">Q321</f>
        <v>199</v>
      </c>
      <c r="N322" s="24" t="str">
        <f aca="false">IF(M322&gt;=TotalStations,"Terminé",INDEX($A$10:$A$25,MATCH(SUMPRODUCT(($A$10:$A$25&lt;&gt;"")*($D$10:$D$25&lt;=M322))+1,$E$10:$E$25,0)))</f>
        <v>Terminé</v>
      </c>
      <c r="O322" s="24" t="str">
        <f aca="false">IF(M322&gt;=TotalStations,"",INDEX($C$10:$C$25,MATCH(SUMPRODUCT(($A$10:$A$25&lt;&gt;"")*($D$10:$D$25&lt;=M322))+1,$E$10:$E$25,0)))</f>
        <v/>
      </c>
      <c r="P322" s="24" t="n">
        <f aca="false">IF(M322&gt;=TotalStations,0,MIN(FLOOR(420/O322,1),(TotalStations-M322)))</f>
        <v>0</v>
      </c>
      <c r="Q322" s="24" t="n">
        <f aca="false">M322+P322</f>
        <v>199</v>
      </c>
    </row>
    <row r="323" customFormat="false" ht="15" hidden="false" customHeight="true" outlineLevel="0" collapsed="false">
      <c r="A323" s="37" t="n">
        <f aca="false">WORKDAY(A322,1)</f>
        <v>46624</v>
      </c>
      <c r="B323" s="24" t="str">
        <f aca="false">IF(COUNTIF($B$5:$F$5,A323)&gt;0,"Dédié","Normal")</f>
        <v>Normal</v>
      </c>
      <c r="C323" s="24" t="n">
        <f aca="false">G322</f>
        <v>199</v>
      </c>
      <c r="D323" s="24" t="str">
        <f aca="false">IF(C323&gt;=TotalStations,"Terminé",INDEX($A$10:$A$25,MATCH(SUMPRODUCT(($A$10:$A$25&lt;&gt;"")*($D$10:$D$25&lt;=C323))+1,$E$10:$E$25,0)))</f>
        <v>Terminé</v>
      </c>
      <c r="E323" s="24" t="str">
        <f aca="false">IF(C323&gt;=TotalStations,"",INDEX($C$10:$C$25,MATCH(SUMPRODUCT(($A$10:$A$25&lt;&gt;"")*($D$10:$D$25&lt;=C323))+1,$E$10:$E$25,0)))</f>
        <v/>
      </c>
      <c r="F323" s="24" t="n">
        <f aca="false">IF(C323&gt;=TotalStations,0,IF(B323="Dédié",MIN(FLOOR(420/E323,1),(TotalStations-C323)),MIN(1,(TotalStations-C323))))</f>
        <v>0</v>
      </c>
      <c r="G323" s="24" t="n">
        <f aca="false">C323+F323</f>
        <v>199</v>
      </c>
      <c r="H323" s="24" t="n">
        <f aca="false">L322</f>
        <v>199</v>
      </c>
      <c r="I323" s="24" t="str">
        <f aca="false">IF(H323&gt;=TotalStations,"Terminé",INDEX($A$10:$A$25,MATCH(SUMPRODUCT(($A$10:$A$25&lt;&gt;"")*($D$10:$D$25&lt;=H323))+1,$E$10:$E$25,0)))</f>
        <v>Terminé</v>
      </c>
      <c r="J323" s="24" t="str">
        <f aca="false">IF(H323&gt;=TotalStations,"",INDEX($C$10:$C$25,MATCH(SUMPRODUCT(($A$10:$A$25&lt;&gt;"")*($D$10:$D$25&lt;=H323))+1,$E$10:$E$25,0)))</f>
        <v/>
      </c>
      <c r="K323" s="24" t="n">
        <f aca="false">IF(H323&gt;=TotalStations,0,IF(B323="Dédié",MIN(FLOOR(420/J323,1),(TotalStations-H323)),MIN(2,(TotalStations-H323))))</f>
        <v>0</v>
      </c>
      <c r="L323" s="24" t="n">
        <f aca="false">H323+K323</f>
        <v>199</v>
      </c>
      <c r="M323" s="24" t="n">
        <f aca="false">Q322</f>
        <v>199</v>
      </c>
      <c r="N323" s="24" t="str">
        <f aca="false">IF(M323&gt;=TotalStations,"Terminé",INDEX($A$10:$A$25,MATCH(SUMPRODUCT(($A$10:$A$25&lt;&gt;"")*($D$10:$D$25&lt;=M323))+1,$E$10:$E$25,0)))</f>
        <v>Terminé</v>
      </c>
      <c r="O323" s="24" t="str">
        <f aca="false">IF(M323&gt;=TotalStations,"",INDEX($C$10:$C$25,MATCH(SUMPRODUCT(($A$10:$A$25&lt;&gt;"")*($D$10:$D$25&lt;=M323))+1,$E$10:$E$25,0)))</f>
        <v/>
      </c>
      <c r="P323" s="24" t="n">
        <f aca="false">IF(M323&gt;=TotalStations,0,MIN(FLOOR(420/O323,1),(TotalStations-M323)))</f>
        <v>0</v>
      </c>
      <c r="Q323" s="24" t="n">
        <f aca="false">M323+P323</f>
        <v>199</v>
      </c>
    </row>
    <row r="324" customFormat="false" ht="15" hidden="false" customHeight="true" outlineLevel="0" collapsed="false">
      <c r="A324" s="37" t="n">
        <f aca="false">WORKDAY(A323,1)</f>
        <v>46625</v>
      </c>
      <c r="B324" s="24" t="str">
        <f aca="false">IF(COUNTIF($B$5:$F$5,A324)&gt;0,"Dédié","Normal")</f>
        <v>Normal</v>
      </c>
      <c r="C324" s="24" t="n">
        <f aca="false">G323</f>
        <v>199</v>
      </c>
      <c r="D324" s="24" t="str">
        <f aca="false">IF(C324&gt;=TotalStations,"Terminé",INDEX($A$10:$A$25,MATCH(SUMPRODUCT(($A$10:$A$25&lt;&gt;"")*($D$10:$D$25&lt;=C324))+1,$E$10:$E$25,0)))</f>
        <v>Terminé</v>
      </c>
      <c r="E324" s="24" t="str">
        <f aca="false">IF(C324&gt;=TotalStations,"",INDEX($C$10:$C$25,MATCH(SUMPRODUCT(($A$10:$A$25&lt;&gt;"")*($D$10:$D$25&lt;=C324))+1,$E$10:$E$25,0)))</f>
        <v/>
      </c>
      <c r="F324" s="24" t="n">
        <f aca="false">IF(C324&gt;=TotalStations,0,IF(B324="Dédié",MIN(FLOOR(420/E324,1),(TotalStations-C324)),MIN(1,(TotalStations-C324))))</f>
        <v>0</v>
      </c>
      <c r="G324" s="24" t="n">
        <f aca="false">C324+F324</f>
        <v>199</v>
      </c>
      <c r="H324" s="24" t="n">
        <f aca="false">L323</f>
        <v>199</v>
      </c>
      <c r="I324" s="24" t="str">
        <f aca="false">IF(H324&gt;=TotalStations,"Terminé",INDEX($A$10:$A$25,MATCH(SUMPRODUCT(($A$10:$A$25&lt;&gt;"")*($D$10:$D$25&lt;=H324))+1,$E$10:$E$25,0)))</f>
        <v>Terminé</v>
      </c>
      <c r="J324" s="24" t="str">
        <f aca="false">IF(H324&gt;=TotalStations,"",INDEX($C$10:$C$25,MATCH(SUMPRODUCT(($A$10:$A$25&lt;&gt;"")*($D$10:$D$25&lt;=H324))+1,$E$10:$E$25,0)))</f>
        <v/>
      </c>
      <c r="K324" s="24" t="n">
        <f aca="false">IF(H324&gt;=TotalStations,0,IF(B324="Dédié",MIN(FLOOR(420/J324,1),(TotalStations-H324)),MIN(2,(TotalStations-H324))))</f>
        <v>0</v>
      </c>
      <c r="L324" s="24" t="n">
        <f aca="false">H324+K324</f>
        <v>199</v>
      </c>
      <c r="M324" s="24" t="n">
        <f aca="false">Q323</f>
        <v>199</v>
      </c>
      <c r="N324" s="24" t="str">
        <f aca="false">IF(M324&gt;=TotalStations,"Terminé",INDEX($A$10:$A$25,MATCH(SUMPRODUCT(($A$10:$A$25&lt;&gt;"")*($D$10:$D$25&lt;=M324))+1,$E$10:$E$25,0)))</f>
        <v>Terminé</v>
      </c>
      <c r="O324" s="24" t="str">
        <f aca="false">IF(M324&gt;=TotalStations,"",INDEX($C$10:$C$25,MATCH(SUMPRODUCT(($A$10:$A$25&lt;&gt;"")*($D$10:$D$25&lt;=M324))+1,$E$10:$E$25,0)))</f>
        <v/>
      </c>
      <c r="P324" s="24" t="n">
        <f aca="false">IF(M324&gt;=TotalStations,0,MIN(FLOOR(420/O324,1),(TotalStations-M324)))</f>
        <v>0</v>
      </c>
      <c r="Q324" s="24" t="n">
        <f aca="false">M324+P324</f>
        <v>199</v>
      </c>
    </row>
    <row r="325" customFormat="false" ht="15" hidden="false" customHeight="true" outlineLevel="0" collapsed="false">
      <c r="A325" s="37" t="n">
        <f aca="false">WORKDAY(A324,1)</f>
        <v>46626</v>
      </c>
      <c r="B325" s="24" t="str">
        <f aca="false">IF(COUNTIF($B$5:$F$5,A325)&gt;0,"Dédié","Normal")</f>
        <v>Normal</v>
      </c>
      <c r="C325" s="24" t="n">
        <f aca="false">G324</f>
        <v>199</v>
      </c>
      <c r="D325" s="24" t="str">
        <f aca="false">IF(C325&gt;=TotalStations,"Terminé",INDEX($A$10:$A$25,MATCH(SUMPRODUCT(($A$10:$A$25&lt;&gt;"")*($D$10:$D$25&lt;=C325))+1,$E$10:$E$25,0)))</f>
        <v>Terminé</v>
      </c>
      <c r="E325" s="24" t="str">
        <f aca="false">IF(C325&gt;=TotalStations,"",INDEX($C$10:$C$25,MATCH(SUMPRODUCT(($A$10:$A$25&lt;&gt;"")*($D$10:$D$25&lt;=C325))+1,$E$10:$E$25,0)))</f>
        <v/>
      </c>
      <c r="F325" s="24" t="n">
        <f aca="false">IF(C325&gt;=TotalStations,0,IF(B325="Dédié",MIN(FLOOR(420/E325,1),(TotalStations-C325)),MIN(1,(TotalStations-C325))))</f>
        <v>0</v>
      </c>
      <c r="G325" s="24" t="n">
        <f aca="false">C325+F325</f>
        <v>199</v>
      </c>
      <c r="H325" s="24" t="n">
        <f aca="false">L324</f>
        <v>199</v>
      </c>
      <c r="I325" s="24" t="str">
        <f aca="false">IF(H325&gt;=TotalStations,"Terminé",INDEX($A$10:$A$25,MATCH(SUMPRODUCT(($A$10:$A$25&lt;&gt;"")*($D$10:$D$25&lt;=H325))+1,$E$10:$E$25,0)))</f>
        <v>Terminé</v>
      </c>
      <c r="J325" s="24" t="str">
        <f aca="false">IF(H325&gt;=TotalStations,"",INDEX($C$10:$C$25,MATCH(SUMPRODUCT(($A$10:$A$25&lt;&gt;"")*($D$10:$D$25&lt;=H325))+1,$E$10:$E$25,0)))</f>
        <v/>
      </c>
      <c r="K325" s="24" t="n">
        <f aca="false">IF(H325&gt;=TotalStations,0,IF(B325="Dédié",MIN(FLOOR(420/J325,1),(TotalStations-H325)),MIN(2,(TotalStations-H325))))</f>
        <v>0</v>
      </c>
      <c r="L325" s="24" t="n">
        <f aca="false">H325+K325</f>
        <v>199</v>
      </c>
      <c r="M325" s="24" t="n">
        <f aca="false">Q324</f>
        <v>199</v>
      </c>
      <c r="N325" s="24" t="str">
        <f aca="false">IF(M325&gt;=TotalStations,"Terminé",INDEX($A$10:$A$25,MATCH(SUMPRODUCT(($A$10:$A$25&lt;&gt;"")*($D$10:$D$25&lt;=M325))+1,$E$10:$E$25,0)))</f>
        <v>Terminé</v>
      </c>
      <c r="O325" s="24" t="str">
        <f aca="false">IF(M325&gt;=TotalStations,"",INDEX($C$10:$C$25,MATCH(SUMPRODUCT(($A$10:$A$25&lt;&gt;"")*($D$10:$D$25&lt;=M325))+1,$E$10:$E$25,0)))</f>
        <v/>
      </c>
      <c r="P325" s="24" t="n">
        <f aca="false">IF(M325&gt;=TotalStations,0,MIN(FLOOR(420/O325,1),(TotalStations-M325)))</f>
        <v>0</v>
      </c>
      <c r="Q325" s="24" t="n">
        <f aca="false">M325+P325</f>
        <v>199</v>
      </c>
    </row>
    <row r="326" customFormat="false" ht="15" hidden="false" customHeight="true" outlineLevel="0" collapsed="false">
      <c r="A326" s="37" t="n">
        <f aca="false">WORKDAY(A325,1)</f>
        <v>46629</v>
      </c>
      <c r="B326" s="24" t="str">
        <f aca="false">IF(COUNTIF($B$5:$F$5,A326)&gt;0,"Dédié","Normal")</f>
        <v>Normal</v>
      </c>
      <c r="C326" s="24" t="n">
        <f aca="false">G325</f>
        <v>199</v>
      </c>
      <c r="D326" s="24" t="str">
        <f aca="false">IF(C326&gt;=TotalStations,"Terminé",INDEX($A$10:$A$25,MATCH(SUMPRODUCT(($A$10:$A$25&lt;&gt;"")*($D$10:$D$25&lt;=C326))+1,$E$10:$E$25,0)))</f>
        <v>Terminé</v>
      </c>
      <c r="E326" s="24" t="str">
        <f aca="false">IF(C326&gt;=TotalStations,"",INDEX($C$10:$C$25,MATCH(SUMPRODUCT(($A$10:$A$25&lt;&gt;"")*($D$10:$D$25&lt;=C326))+1,$E$10:$E$25,0)))</f>
        <v/>
      </c>
      <c r="F326" s="24" t="n">
        <f aca="false">IF(C326&gt;=TotalStations,0,IF(B326="Dédié",MIN(FLOOR(420/E326,1),(TotalStations-C326)),MIN(1,(TotalStations-C326))))</f>
        <v>0</v>
      </c>
      <c r="G326" s="24" t="n">
        <f aca="false">C326+F326</f>
        <v>199</v>
      </c>
      <c r="H326" s="24" t="n">
        <f aca="false">L325</f>
        <v>199</v>
      </c>
      <c r="I326" s="24" t="str">
        <f aca="false">IF(H326&gt;=TotalStations,"Terminé",INDEX($A$10:$A$25,MATCH(SUMPRODUCT(($A$10:$A$25&lt;&gt;"")*($D$10:$D$25&lt;=H326))+1,$E$10:$E$25,0)))</f>
        <v>Terminé</v>
      </c>
      <c r="J326" s="24" t="str">
        <f aca="false">IF(H326&gt;=TotalStations,"",INDEX($C$10:$C$25,MATCH(SUMPRODUCT(($A$10:$A$25&lt;&gt;"")*($D$10:$D$25&lt;=H326))+1,$E$10:$E$25,0)))</f>
        <v/>
      </c>
      <c r="K326" s="24" t="n">
        <f aca="false">IF(H326&gt;=TotalStations,0,IF(B326="Dédié",MIN(FLOOR(420/J326,1),(TotalStations-H326)),MIN(2,(TotalStations-H326))))</f>
        <v>0</v>
      </c>
      <c r="L326" s="24" t="n">
        <f aca="false">H326+K326</f>
        <v>199</v>
      </c>
      <c r="M326" s="24" t="n">
        <f aca="false">Q325</f>
        <v>199</v>
      </c>
      <c r="N326" s="24" t="str">
        <f aca="false">IF(M326&gt;=TotalStations,"Terminé",INDEX($A$10:$A$25,MATCH(SUMPRODUCT(($A$10:$A$25&lt;&gt;"")*($D$10:$D$25&lt;=M326))+1,$E$10:$E$25,0)))</f>
        <v>Terminé</v>
      </c>
      <c r="O326" s="24" t="str">
        <f aca="false">IF(M326&gt;=TotalStations,"",INDEX($C$10:$C$25,MATCH(SUMPRODUCT(($A$10:$A$25&lt;&gt;"")*($D$10:$D$25&lt;=M326))+1,$E$10:$E$25,0)))</f>
        <v/>
      </c>
      <c r="P326" s="24" t="n">
        <f aca="false">IF(M326&gt;=TotalStations,0,MIN(FLOOR(420/O326,1),(TotalStations-M326)))</f>
        <v>0</v>
      </c>
      <c r="Q326" s="24" t="n">
        <f aca="false">M326+P326</f>
        <v>199</v>
      </c>
    </row>
    <row r="327" customFormat="false" ht="15" hidden="false" customHeight="true" outlineLevel="0" collapsed="false">
      <c r="A327" s="37" t="n">
        <f aca="false">WORKDAY(A326,1)</f>
        <v>46630</v>
      </c>
      <c r="B327" s="24" t="str">
        <f aca="false">IF(COUNTIF($B$5:$F$5,A327)&gt;0,"Dédié","Normal")</f>
        <v>Normal</v>
      </c>
      <c r="C327" s="24" t="n">
        <f aca="false">G326</f>
        <v>199</v>
      </c>
      <c r="D327" s="24" t="str">
        <f aca="false">IF(C327&gt;=TotalStations,"Terminé",INDEX($A$10:$A$25,MATCH(SUMPRODUCT(($A$10:$A$25&lt;&gt;"")*($D$10:$D$25&lt;=C327))+1,$E$10:$E$25,0)))</f>
        <v>Terminé</v>
      </c>
      <c r="E327" s="24" t="str">
        <f aca="false">IF(C327&gt;=TotalStations,"",INDEX($C$10:$C$25,MATCH(SUMPRODUCT(($A$10:$A$25&lt;&gt;"")*($D$10:$D$25&lt;=C327))+1,$E$10:$E$25,0)))</f>
        <v/>
      </c>
      <c r="F327" s="24" t="n">
        <f aca="false">IF(C327&gt;=TotalStations,0,IF(B327="Dédié",MIN(FLOOR(420/E327,1),(TotalStations-C327)),MIN(1,(TotalStations-C327))))</f>
        <v>0</v>
      </c>
      <c r="G327" s="24" t="n">
        <f aca="false">C327+F327</f>
        <v>199</v>
      </c>
      <c r="H327" s="24" t="n">
        <f aca="false">L326</f>
        <v>199</v>
      </c>
      <c r="I327" s="24" t="str">
        <f aca="false">IF(H327&gt;=TotalStations,"Terminé",INDEX($A$10:$A$25,MATCH(SUMPRODUCT(($A$10:$A$25&lt;&gt;"")*($D$10:$D$25&lt;=H327))+1,$E$10:$E$25,0)))</f>
        <v>Terminé</v>
      </c>
      <c r="J327" s="24" t="str">
        <f aca="false">IF(H327&gt;=TotalStations,"",INDEX($C$10:$C$25,MATCH(SUMPRODUCT(($A$10:$A$25&lt;&gt;"")*($D$10:$D$25&lt;=H327))+1,$E$10:$E$25,0)))</f>
        <v/>
      </c>
      <c r="K327" s="24" t="n">
        <f aca="false">IF(H327&gt;=TotalStations,0,IF(B327="Dédié",MIN(FLOOR(420/J327,1),(TotalStations-H327)),MIN(2,(TotalStations-H327))))</f>
        <v>0</v>
      </c>
      <c r="L327" s="24" t="n">
        <f aca="false">H327+K327</f>
        <v>199</v>
      </c>
      <c r="M327" s="24" t="n">
        <f aca="false">Q326</f>
        <v>199</v>
      </c>
      <c r="N327" s="24" t="str">
        <f aca="false">IF(M327&gt;=TotalStations,"Terminé",INDEX($A$10:$A$25,MATCH(SUMPRODUCT(($A$10:$A$25&lt;&gt;"")*($D$10:$D$25&lt;=M327))+1,$E$10:$E$25,0)))</f>
        <v>Terminé</v>
      </c>
      <c r="O327" s="24" t="str">
        <f aca="false">IF(M327&gt;=TotalStations,"",INDEX($C$10:$C$25,MATCH(SUMPRODUCT(($A$10:$A$25&lt;&gt;"")*($D$10:$D$25&lt;=M327))+1,$E$10:$E$25,0)))</f>
        <v/>
      </c>
      <c r="P327" s="24" t="n">
        <f aca="false">IF(M327&gt;=TotalStations,0,MIN(FLOOR(420/O327,1),(TotalStations-M327)))</f>
        <v>0</v>
      </c>
      <c r="Q327" s="24" t="n">
        <f aca="false">M327+P327</f>
        <v>199</v>
      </c>
    </row>
    <row r="328" customFormat="false" ht="15" hidden="false" customHeight="true" outlineLevel="0" collapsed="false">
      <c r="A328" s="37" t="n">
        <f aca="false">WORKDAY(A327,1)</f>
        <v>46631</v>
      </c>
      <c r="B328" s="24" t="str">
        <f aca="false">IF(COUNTIF($B$5:$F$5,A328)&gt;0,"Dédié","Normal")</f>
        <v>Normal</v>
      </c>
      <c r="C328" s="24" t="n">
        <f aca="false">G327</f>
        <v>199</v>
      </c>
      <c r="D328" s="24" t="str">
        <f aca="false">IF(C328&gt;=TotalStations,"Terminé",INDEX($A$10:$A$25,MATCH(SUMPRODUCT(($A$10:$A$25&lt;&gt;"")*($D$10:$D$25&lt;=C328))+1,$E$10:$E$25,0)))</f>
        <v>Terminé</v>
      </c>
      <c r="E328" s="24" t="str">
        <f aca="false">IF(C328&gt;=TotalStations,"",INDEX($C$10:$C$25,MATCH(SUMPRODUCT(($A$10:$A$25&lt;&gt;"")*($D$10:$D$25&lt;=C328))+1,$E$10:$E$25,0)))</f>
        <v/>
      </c>
      <c r="F328" s="24" t="n">
        <f aca="false">IF(C328&gt;=TotalStations,0,IF(B328="Dédié",MIN(FLOOR(420/E328,1),(TotalStations-C328)),MIN(1,(TotalStations-C328))))</f>
        <v>0</v>
      </c>
      <c r="G328" s="24" t="n">
        <f aca="false">C328+F328</f>
        <v>199</v>
      </c>
      <c r="H328" s="24" t="n">
        <f aca="false">L327</f>
        <v>199</v>
      </c>
      <c r="I328" s="24" t="str">
        <f aca="false">IF(H328&gt;=TotalStations,"Terminé",INDEX($A$10:$A$25,MATCH(SUMPRODUCT(($A$10:$A$25&lt;&gt;"")*($D$10:$D$25&lt;=H328))+1,$E$10:$E$25,0)))</f>
        <v>Terminé</v>
      </c>
      <c r="J328" s="24" t="str">
        <f aca="false">IF(H328&gt;=TotalStations,"",INDEX($C$10:$C$25,MATCH(SUMPRODUCT(($A$10:$A$25&lt;&gt;"")*($D$10:$D$25&lt;=H328))+1,$E$10:$E$25,0)))</f>
        <v/>
      </c>
      <c r="K328" s="24" t="n">
        <f aca="false">IF(H328&gt;=TotalStations,0,IF(B328="Dédié",MIN(FLOOR(420/J328,1),(TotalStations-H328)),MIN(2,(TotalStations-H328))))</f>
        <v>0</v>
      </c>
      <c r="L328" s="24" t="n">
        <f aca="false">H328+K328</f>
        <v>199</v>
      </c>
      <c r="M328" s="24" t="n">
        <f aca="false">Q327</f>
        <v>199</v>
      </c>
      <c r="N328" s="24" t="str">
        <f aca="false">IF(M328&gt;=TotalStations,"Terminé",INDEX($A$10:$A$25,MATCH(SUMPRODUCT(($A$10:$A$25&lt;&gt;"")*($D$10:$D$25&lt;=M328))+1,$E$10:$E$25,0)))</f>
        <v>Terminé</v>
      </c>
      <c r="O328" s="24" t="str">
        <f aca="false">IF(M328&gt;=TotalStations,"",INDEX($C$10:$C$25,MATCH(SUMPRODUCT(($A$10:$A$25&lt;&gt;"")*($D$10:$D$25&lt;=M328))+1,$E$10:$E$25,0)))</f>
        <v/>
      </c>
      <c r="P328" s="24" t="n">
        <f aca="false">IF(M328&gt;=TotalStations,0,MIN(FLOOR(420/O328,1),(TotalStations-M328)))</f>
        <v>0</v>
      </c>
      <c r="Q328" s="24" t="n">
        <f aca="false">M328+P328</f>
        <v>199</v>
      </c>
    </row>
    <row r="329" customFormat="false" ht="15" hidden="false" customHeight="true" outlineLevel="0" collapsed="false">
      <c r="A329" s="37" t="n">
        <f aca="false">WORKDAY(A328,1)</f>
        <v>46632</v>
      </c>
      <c r="B329" s="24" t="str">
        <f aca="false">IF(COUNTIF($B$5:$F$5,A329)&gt;0,"Dédié","Normal")</f>
        <v>Normal</v>
      </c>
      <c r="C329" s="24" t="n">
        <f aca="false">G328</f>
        <v>199</v>
      </c>
      <c r="D329" s="24" t="str">
        <f aca="false">IF(C329&gt;=TotalStations,"Terminé",INDEX($A$10:$A$25,MATCH(SUMPRODUCT(($A$10:$A$25&lt;&gt;"")*($D$10:$D$25&lt;=C329))+1,$E$10:$E$25,0)))</f>
        <v>Terminé</v>
      </c>
      <c r="E329" s="24" t="str">
        <f aca="false">IF(C329&gt;=TotalStations,"",INDEX($C$10:$C$25,MATCH(SUMPRODUCT(($A$10:$A$25&lt;&gt;"")*($D$10:$D$25&lt;=C329))+1,$E$10:$E$25,0)))</f>
        <v/>
      </c>
      <c r="F329" s="24" t="n">
        <f aca="false">IF(C329&gt;=TotalStations,0,IF(B329="Dédié",MIN(FLOOR(420/E329,1),(TotalStations-C329)),MIN(1,(TotalStations-C329))))</f>
        <v>0</v>
      </c>
      <c r="G329" s="24" t="n">
        <f aca="false">C329+F329</f>
        <v>199</v>
      </c>
      <c r="H329" s="24" t="n">
        <f aca="false">L328</f>
        <v>199</v>
      </c>
      <c r="I329" s="24" t="str">
        <f aca="false">IF(H329&gt;=TotalStations,"Terminé",INDEX($A$10:$A$25,MATCH(SUMPRODUCT(($A$10:$A$25&lt;&gt;"")*($D$10:$D$25&lt;=H329))+1,$E$10:$E$25,0)))</f>
        <v>Terminé</v>
      </c>
      <c r="J329" s="24" t="str">
        <f aca="false">IF(H329&gt;=TotalStations,"",INDEX($C$10:$C$25,MATCH(SUMPRODUCT(($A$10:$A$25&lt;&gt;"")*($D$10:$D$25&lt;=H329))+1,$E$10:$E$25,0)))</f>
        <v/>
      </c>
      <c r="K329" s="24" t="n">
        <f aca="false">IF(H329&gt;=TotalStations,0,IF(B329="Dédié",MIN(FLOOR(420/J329,1),(TotalStations-H329)),MIN(2,(TotalStations-H329))))</f>
        <v>0</v>
      </c>
      <c r="L329" s="24" t="n">
        <f aca="false">H329+K329</f>
        <v>199</v>
      </c>
      <c r="M329" s="24" t="n">
        <f aca="false">Q328</f>
        <v>199</v>
      </c>
      <c r="N329" s="24" t="str">
        <f aca="false">IF(M329&gt;=TotalStations,"Terminé",INDEX($A$10:$A$25,MATCH(SUMPRODUCT(($A$10:$A$25&lt;&gt;"")*($D$10:$D$25&lt;=M329))+1,$E$10:$E$25,0)))</f>
        <v>Terminé</v>
      </c>
      <c r="O329" s="24" t="str">
        <f aca="false">IF(M329&gt;=TotalStations,"",INDEX($C$10:$C$25,MATCH(SUMPRODUCT(($A$10:$A$25&lt;&gt;"")*($D$10:$D$25&lt;=M329))+1,$E$10:$E$25,0)))</f>
        <v/>
      </c>
      <c r="P329" s="24" t="n">
        <f aca="false">IF(M329&gt;=TotalStations,0,MIN(FLOOR(420/O329,1),(TotalStations-M329)))</f>
        <v>0</v>
      </c>
      <c r="Q329" s="24" t="n">
        <f aca="false">M329+P329</f>
        <v>199</v>
      </c>
    </row>
    <row r="330" customFormat="false" ht="15" hidden="false" customHeight="true" outlineLevel="0" collapsed="false">
      <c r="A330" s="37" t="n">
        <f aca="false">WORKDAY(A329,1)</f>
        <v>46633</v>
      </c>
      <c r="B330" s="24" t="str">
        <f aca="false">IF(COUNTIF($B$5:$F$5,A330)&gt;0,"Dédié","Normal")</f>
        <v>Normal</v>
      </c>
      <c r="C330" s="24" t="n">
        <f aca="false">G329</f>
        <v>199</v>
      </c>
      <c r="D330" s="24" t="str">
        <f aca="false">IF(C330&gt;=TotalStations,"Terminé",INDEX($A$10:$A$25,MATCH(SUMPRODUCT(($A$10:$A$25&lt;&gt;"")*($D$10:$D$25&lt;=C330))+1,$E$10:$E$25,0)))</f>
        <v>Terminé</v>
      </c>
      <c r="E330" s="24" t="str">
        <f aca="false">IF(C330&gt;=TotalStations,"",INDEX($C$10:$C$25,MATCH(SUMPRODUCT(($A$10:$A$25&lt;&gt;"")*($D$10:$D$25&lt;=C330))+1,$E$10:$E$25,0)))</f>
        <v/>
      </c>
      <c r="F330" s="24" t="n">
        <f aca="false">IF(C330&gt;=TotalStations,0,IF(B330="Dédié",MIN(FLOOR(420/E330,1),(TotalStations-C330)),MIN(1,(TotalStations-C330))))</f>
        <v>0</v>
      </c>
      <c r="G330" s="24" t="n">
        <f aca="false">C330+F330</f>
        <v>199</v>
      </c>
      <c r="H330" s="24" t="n">
        <f aca="false">L329</f>
        <v>199</v>
      </c>
      <c r="I330" s="24" t="str">
        <f aca="false">IF(H330&gt;=TotalStations,"Terminé",INDEX($A$10:$A$25,MATCH(SUMPRODUCT(($A$10:$A$25&lt;&gt;"")*($D$10:$D$25&lt;=H330))+1,$E$10:$E$25,0)))</f>
        <v>Terminé</v>
      </c>
      <c r="J330" s="24" t="str">
        <f aca="false">IF(H330&gt;=TotalStations,"",INDEX($C$10:$C$25,MATCH(SUMPRODUCT(($A$10:$A$25&lt;&gt;"")*($D$10:$D$25&lt;=H330))+1,$E$10:$E$25,0)))</f>
        <v/>
      </c>
      <c r="K330" s="24" t="n">
        <f aca="false">IF(H330&gt;=TotalStations,0,IF(B330="Dédié",MIN(FLOOR(420/J330,1),(TotalStations-H330)),MIN(2,(TotalStations-H330))))</f>
        <v>0</v>
      </c>
      <c r="L330" s="24" t="n">
        <f aca="false">H330+K330</f>
        <v>199</v>
      </c>
      <c r="M330" s="24" t="n">
        <f aca="false">Q329</f>
        <v>199</v>
      </c>
      <c r="N330" s="24" t="str">
        <f aca="false">IF(M330&gt;=TotalStations,"Terminé",INDEX($A$10:$A$25,MATCH(SUMPRODUCT(($A$10:$A$25&lt;&gt;"")*($D$10:$D$25&lt;=M330))+1,$E$10:$E$25,0)))</f>
        <v>Terminé</v>
      </c>
      <c r="O330" s="24" t="str">
        <f aca="false">IF(M330&gt;=TotalStations,"",INDEX($C$10:$C$25,MATCH(SUMPRODUCT(($A$10:$A$25&lt;&gt;"")*($D$10:$D$25&lt;=M330))+1,$E$10:$E$25,0)))</f>
        <v/>
      </c>
      <c r="P330" s="24" t="n">
        <f aca="false">IF(M330&gt;=TotalStations,0,MIN(FLOOR(420/O330,1),(TotalStations-M330)))</f>
        <v>0</v>
      </c>
      <c r="Q330" s="24" t="n">
        <f aca="false">M330+P330</f>
        <v>199</v>
      </c>
    </row>
    <row r="331" customFormat="false" ht="15" hidden="false" customHeight="true" outlineLevel="0" collapsed="false">
      <c r="A331" s="37" t="n">
        <f aca="false">WORKDAY(A330,1)</f>
        <v>46636</v>
      </c>
      <c r="B331" s="24" t="str">
        <f aca="false">IF(COUNTIF($B$5:$F$5,A331)&gt;0,"Dédié","Normal")</f>
        <v>Normal</v>
      </c>
      <c r="C331" s="24" t="n">
        <f aca="false">G330</f>
        <v>199</v>
      </c>
      <c r="D331" s="24" t="str">
        <f aca="false">IF(C331&gt;=TotalStations,"Terminé",INDEX($A$10:$A$25,MATCH(SUMPRODUCT(($A$10:$A$25&lt;&gt;"")*($D$10:$D$25&lt;=C331))+1,$E$10:$E$25,0)))</f>
        <v>Terminé</v>
      </c>
      <c r="E331" s="24" t="str">
        <f aca="false">IF(C331&gt;=TotalStations,"",INDEX($C$10:$C$25,MATCH(SUMPRODUCT(($A$10:$A$25&lt;&gt;"")*($D$10:$D$25&lt;=C331))+1,$E$10:$E$25,0)))</f>
        <v/>
      </c>
      <c r="F331" s="24" t="n">
        <f aca="false">IF(C331&gt;=TotalStations,0,IF(B331="Dédié",MIN(FLOOR(420/E331,1),(TotalStations-C331)),MIN(1,(TotalStations-C331))))</f>
        <v>0</v>
      </c>
      <c r="G331" s="24" t="n">
        <f aca="false">C331+F331</f>
        <v>199</v>
      </c>
      <c r="H331" s="24" t="n">
        <f aca="false">L330</f>
        <v>199</v>
      </c>
      <c r="I331" s="24" t="str">
        <f aca="false">IF(H331&gt;=TotalStations,"Terminé",INDEX($A$10:$A$25,MATCH(SUMPRODUCT(($A$10:$A$25&lt;&gt;"")*($D$10:$D$25&lt;=H331))+1,$E$10:$E$25,0)))</f>
        <v>Terminé</v>
      </c>
      <c r="J331" s="24" t="str">
        <f aca="false">IF(H331&gt;=TotalStations,"",INDEX($C$10:$C$25,MATCH(SUMPRODUCT(($A$10:$A$25&lt;&gt;"")*($D$10:$D$25&lt;=H331))+1,$E$10:$E$25,0)))</f>
        <v/>
      </c>
      <c r="K331" s="24" t="n">
        <f aca="false">IF(H331&gt;=TotalStations,0,IF(B331="Dédié",MIN(FLOOR(420/J331,1),(TotalStations-H331)),MIN(2,(TotalStations-H331))))</f>
        <v>0</v>
      </c>
      <c r="L331" s="24" t="n">
        <f aca="false">H331+K331</f>
        <v>199</v>
      </c>
      <c r="M331" s="24" t="n">
        <f aca="false">Q330</f>
        <v>199</v>
      </c>
      <c r="N331" s="24" t="str">
        <f aca="false">IF(M331&gt;=TotalStations,"Terminé",INDEX($A$10:$A$25,MATCH(SUMPRODUCT(($A$10:$A$25&lt;&gt;"")*($D$10:$D$25&lt;=M331))+1,$E$10:$E$25,0)))</f>
        <v>Terminé</v>
      </c>
      <c r="O331" s="24" t="str">
        <f aca="false">IF(M331&gt;=TotalStations,"",INDEX($C$10:$C$25,MATCH(SUMPRODUCT(($A$10:$A$25&lt;&gt;"")*($D$10:$D$25&lt;=M331))+1,$E$10:$E$25,0)))</f>
        <v/>
      </c>
      <c r="P331" s="24" t="n">
        <f aca="false">IF(M331&gt;=TotalStations,0,MIN(FLOOR(420/O331,1),(TotalStations-M331)))</f>
        <v>0</v>
      </c>
      <c r="Q331" s="24" t="n">
        <f aca="false">M331+P331</f>
        <v>199</v>
      </c>
    </row>
    <row r="332" customFormat="false" ht="15" hidden="false" customHeight="true" outlineLevel="0" collapsed="false">
      <c r="A332" s="37" t="n">
        <f aca="false">WORKDAY(A331,1)</f>
        <v>46637</v>
      </c>
      <c r="B332" s="24" t="str">
        <f aca="false">IF(COUNTIF($B$5:$F$5,A332)&gt;0,"Dédié","Normal")</f>
        <v>Normal</v>
      </c>
      <c r="C332" s="24" t="n">
        <f aca="false">G331</f>
        <v>199</v>
      </c>
      <c r="D332" s="24" t="str">
        <f aca="false">IF(C332&gt;=TotalStations,"Terminé",INDEX($A$10:$A$25,MATCH(SUMPRODUCT(($A$10:$A$25&lt;&gt;"")*($D$10:$D$25&lt;=C332))+1,$E$10:$E$25,0)))</f>
        <v>Terminé</v>
      </c>
      <c r="E332" s="24" t="str">
        <f aca="false">IF(C332&gt;=TotalStations,"",INDEX($C$10:$C$25,MATCH(SUMPRODUCT(($A$10:$A$25&lt;&gt;"")*($D$10:$D$25&lt;=C332))+1,$E$10:$E$25,0)))</f>
        <v/>
      </c>
      <c r="F332" s="24" t="n">
        <f aca="false">IF(C332&gt;=TotalStations,0,IF(B332="Dédié",MIN(FLOOR(420/E332,1),(TotalStations-C332)),MIN(1,(TotalStations-C332))))</f>
        <v>0</v>
      </c>
      <c r="G332" s="24" t="n">
        <f aca="false">C332+F332</f>
        <v>199</v>
      </c>
      <c r="H332" s="24" t="n">
        <f aca="false">L331</f>
        <v>199</v>
      </c>
      <c r="I332" s="24" t="str">
        <f aca="false">IF(H332&gt;=TotalStations,"Terminé",INDEX($A$10:$A$25,MATCH(SUMPRODUCT(($A$10:$A$25&lt;&gt;"")*($D$10:$D$25&lt;=H332))+1,$E$10:$E$25,0)))</f>
        <v>Terminé</v>
      </c>
      <c r="J332" s="24" t="str">
        <f aca="false">IF(H332&gt;=TotalStations,"",INDEX($C$10:$C$25,MATCH(SUMPRODUCT(($A$10:$A$25&lt;&gt;"")*($D$10:$D$25&lt;=H332))+1,$E$10:$E$25,0)))</f>
        <v/>
      </c>
      <c r="K332" s="24" t="n">
        <f aca="false">IF(H332&gt;=TotalStations,0,IF(B332="Dédié",MIN(FLOOR(420/J332,1),(TotalStations-H332)),MIN(2,(TotalStations-H332))))</f>
        <v>0</v>
      </c>
      <c r="L332" s="24" t="n">
        <f aca="false">H332+K332</f>
        <v>199</v>
      </c>
      <c r="M332" s="24" t="n">
        <f aca="false">Q331</f>
        <v>199</v>
      </c>
      <c r="N332" s="24" t="str">
        <f aca="false">IF(M332&gt;=TotalStations,"Terminé",INDEX($A$10:$A$25,MATCH(SUMPRODUCT(($A$10:$A$25&lt;&gt;"")*($D$10:$D$25&lt;=M332))+1,$E$10:$E$25,0)))</f>
        <v>Terminé</v>
      </c>
      <c r="O332" s="24" t="str">
        <f aca="false">IF(M332&gt;=TotalStations,"",INDEX($C$10:$C$25,MATCH(SUMPRODUCT(($A$10:$A$25&lt;&gt;"")*($D$10:$D$25&lt;=M332))+1,$E$10:$E$25,0)))</f>
        <v/>
      </c>
      <c r="P332" s="24" t="n">
        <f aca="false">IF(M332&gt;=TotalStations,0,MIN(FLOOR(420/O332,1),(TotalStations-M332)))</f>
        <v>0</v>
      </c>
      <c r="Q332" s="24" t="n">
        <f aca="false">M332+P332</f>
        <v>199</v>
      </c>
    </row>
    <row r="333" customFormat="false" ht="15" hidden="false" customHeight="true" outlineLevel="0" collapsed="false">
      <c r="A333" s="37" t="n">
        <f aca="false">WORKDAY(A332,1)</f>
        <v>46638</v>
      </c>
      <c r="B333" s="24" t="str">
        <f aca="false">IF(COUNTIF($B$5:$F$5,A333)&gt;0,"Dédié","Normal")</f>
        <v>Normal</v>
      </c>
      <c r="C333" s="24" t="n">
        <f aca="false">G332</f>
        <v>199</v>
      </c>
      <c r="D333" s="24" t="str">
        <f aca="false">IF(C333&gt;=TotalStations,"Terminé",INDEX($A$10:$A$25,MATCH(SUMPRODUCT(($A$10:$A$25&lt;&gt;"")*($D$10:$D$25&lt;=C333))+1,$E$10:$E$25,0)))</f>
        <v>Terminé</v>
      </c>
      <c r="E333" s="24" t="str">
        <f aca="false">IF(C333&gt;=TotalStations,"",INDEX($C$10:$C$25,MATCH(SUMPRODUCT(($A$10:$A$25&lt;&gt;"")*($D$10:$D$25&lt;=C333))+1,$E$10:$E$25,0)))</f>
        <v/>
      </c>
      <c r="F333" s="24" t="n">
        <f aca="false">IF(C333&gt;=TotalStations,0,IF(B333="Dédié",MIN(FLOOR(420/E333,1),(TotalStations-C333)),MIN(1,(TotalStations-C333))))</f>
        <v>0</v>
      </c>
      <c r="G333" s="24" t="n">
        <f aca="false">C333+F333</f>
        <v>199</v>
      </c>
      <c r="H333" s="24" t="n">
        <f aca="false">L332</f>
        <v>199</v>
      </c>
      <c r="I333" s="24" t="str">
        <f aca="false">IF(H333&gt;=TotalStations,"Terminé",INDEX($A$10:$A$25,MATCH(SUMPRODUCT(($A$10:$A$25&lt;&gt;"")*($D$10:$D$25&lt;=H333))+1,$E$10:$E$25,0)))</f>
        <v>Terminé</v>
      </c>
      <c r="J333" s="24" t="str">
        <f aca="false">IF(H333&gt;=TotalStations,"",INDEX($C$10:$C$25,MATCH(SUMPRODUCT(($A$10:$A$25&lt;&gt;"")*($D$10:$D$25&lt;=H333))+1,$E$10:$E$25,0)))</f>
        <v/>
      </c>
      <c r="K333" s="24" t="n">
        <f aca="false">IF(H333&gt;=TotalStations,0,IF(B333="Dédié",MIN(FLOOR(420/J333,1),(TotalStations-H333)),MIN(2,(TotalStations-H333))))</f>
        <v>0</v>
      </c>
      <c r="L333" s="24" t="n">
        <f aca="false">H333+K333</f>
        <v>199</v>
      </c>
      <c r="M333" s="24" t="n">
        <f aca="false">Q332</f>
        <v>199</v>
      </c>
      <c r="N333" s="24" t="str">
        <f aca="false">IF(M333&gt;=TotalStations,"Terminé",INDEX($A$10:$A$25,MATCH(SUMPRODUCT(($A$10:$A$25&lt;&gt;"")*($D$10:$D$25&lt;=M333))+1,$E$10:$E$25,0)))</f>
        <v>Terminé</v>
      </c>
      <c r="O333" s="24" t="str">
        <f aca="false">IF(M333&gt;=TotalStations,"",INDEX($C$10:$C$25,MATCH(SUMPRODUCT(($A$10:$A$25&lt;&gt;"")*($D$10:$D$25&lt;=M333))+1,$E$10:$E$25,0)))</f>
        <v/>
      </c>
      <c r="P333" s="24" t="n">
        <f aca="false">IF(M333&gt;=TotalStations,0,MIN(FLOOR(420/O333,1),(TotalStations-M333)))</f>
        <v>0</v>
      </c>
      <c r="Q333" s="24" t="n">
        <f aca="false">M333+P333</f>
        <v>199</v>
      </c>
    </row>
    <row r="334" customFormat="false" ht="15" hidden="false" customHeight="true" outlineLevel="0" collapsed="false">
      <c r="A334" s="37" t="n">
        <f aca="false">WORKDAY(A333,1)</f>
        <v>46639</v>
      </c>
      <c r="B334" s="24" t="str">
        <f aca="false">IF(COUNTIF($B$5:$F$5,A334)&gt;0,"Dédié","Normal")</f>
        <v>Normal</v>
      </c>
      <c r="C334" s="24" t="n">
        <f aca="false">G333</f>
        <v>199</v>
      </c>
      <c r="D334" s="24" t="str">
        <f aca="false">IF(C334&gt;=TotalStations,"Terminé",INDEX($A$10:$A$25,MATCH(SUMPRODUCT(($A$10:$A$25&lt;&gt;"")*($D$10:$D$25&lt;=C334))+1,$E$10:$E$25,0)))</f>
        <v>Terminé</v>
      </c>
      <c r="E334" s="24" t="str">
        <f aca="false">IF(C334&gt;=TotalStations,"",INDEX($C$10:$C$25,MATCH(SUMPRODUCT(($A$10:$A$25&lt;&gt;"")*($D$10:$D$25&lt;=C334))+1,$E$10:$E$25,0)))</f>
        <v/>
      </c>
      <c r="F334" s="24" t="n">
        <f aca="false">IF(C334&gt;=TotalStations,0,IF(B334="Dédié",MIN(FLOOR(420/E334,1),(TotalStations-C334)),MIN(1,(TotalStations-C334))))</f>
        <v>0</v>
      </c>
      <c r="G334" s="24" t="n">
        <f aca="false">C334+F334</f>
        <v>199</v>
      </c>
      <c r="H334" s="24" t="n">
        <f aca="false">L333</f>
        <v>199</v>
      </c>
      <c r="I334" s="24" t="str">
        <f aca="false">IF(H334&gt;=TotalStations,"Terminé",INDEX($A$10:$A$25,MATCH(SUMPRODUCT(($A$10:$A$25&lt;&gt;"")*($D$10:$D$25&lt;=H334))+1,$E$10:$E$25,0)))</f>
        <v>Terminé</v>
      </c>
      <c r="J334" s="24" t="str">
        <f aca="false">IF(H334&gt;=TotalStations,"",INDEX($C$10:$C$25,MATCH(SUMPRODUCT(($A$10:$A$25&lt;&gt;"")*($D$10:$D$25&lt;=H334))+1,$E$10:$E$25,0)))</f>
        <v/>
      </c>
      <c r="K334" s="24" t="n">
        <f aca="false">IF(H334&gt;=TotalStations,0,IF(B334="Dédié",MIN(FLOOR(420/J334,1),(TotalStations-H334)),MIN(2,(TotalStations-H334))))</f>
        <v>0</v>
      </c>
      <c r="L334" s="24" t="n">
        <f aca="false">H334+K334</f>
        <v>199</v>
      </c>
      <c r="M334" s="24" t="n">
        <f aca="false">Q333</f>
        <v>199</v>
      </c>
      <c r="N334" s="24" t="str">
        <f aca="false">IF(M334&gt;=TotalStations,"Terminé",INDEX($A$10:$A$25,MATCH(SUMPRODUCT(($A$10:$A$25&lt;&gt;"")*($D$10:$D$25&lt;=M334))+1,$E$10:$E$25,0)))</f>
        <v>Terminé</v>
      </c>
      <c r="O334" s="24" t="str">
        <f aca="false">IF(M334&gt;=TotalStations,"",INDEX($C$10:$C$25,MATCH(SUMPRODUCT(($A$10:$A$25&lt;&gt;"")*($D$10:$D$25&lt;=M334))+1,$E$10:$E$25,0)))</f>
        <v/>
      </c>
      <c r="P334" s="24" t="n">
        <f aca="false">IF(M334&gt;=TotalStations,0,MIN(FLOOR(420/O334,1),(TotalStations-M334)))</f>
        <v>0</v>
      </c>
      <c r="Q334" s="24" t="n">
        <f aca="false">M334+P334</f>
        <v>199</v>
      </c>
    </row>
    <row r="335" customFormat="false" ht="15" hidden="false" customHeight="true" outlineLevel="0" collapsed="false">
      <c r="A335" s="37" t="n">
        <f aca="false">WORKDAY(A334,1)</f>
        <v>46640</v>
      </c>
      <c r="B335" s="24" t="str">
        <f aca="false">IF(COUNTIF($B$5:$F$5,A335)&gt;0,"Dédié","Normal")</f>
        <v>Normal</v>
      </c>
      <c r="C335" s="24" t="n">
        <f aca="false">G334</f>
        <v>199</v>
      </c>
      <c r="D335" s="24" t="str">
        <f aca="false">IF(C335&gt;=TotalStations,"Terminé",INDEX($A$10:$A$25,MATCH(SUMPRODUCT(($A$10:$A$25&lt;&gt;"")*($D$10:$D$25&lt;=C335))+1,$E$10:$E$25,0)))</f>
        <v>Terminé</v>
      </c>
      <c r="E335" s="24" t="str">
        <f aca="false">IF(C335&gt;=TotalStations,"",INDEX($C$10:$C$25,MATCH(SUMPRODUCT(($A$10:$A$25&lt;&gt;"")*($D$10:$D$25&lt;=C335))+1,$E$10:$E$25,0)))</f>
        <v/>
      </c>
      <c r="F335" s="24" t="n">
        <f aca="false">IF(C335&gt;=TotalStations,0,IF(B335="Dédié",MIN(FLOOR(420/E335,1),(TotalStations-C335)),MIN(1,(TotalStations-C335))))</f>
        <v>0</v>
      </c>
      <c r="G335" s="24" t="n">
        <f aca="false">C335+F335</f>
        <v>199</v>
      </c>
      <c r="H335" s="24" t="n">
        <f aca="false">L334</f>
        <v>199</v>
      </c>
      <c r="I335" s="24" t="str">
        <f aca="false">IF(H335&gt;=TotalStations,"Terminé",INDEX($A$10:$A$25,MATCH(SUMPRODUCT(($A$10:$A$25&lt;&gt;"")*($D$10:$D$25&lt;=H335))+1,$E$10:$E$25,0)))</f>
        <v>Terminé</v>
      </c>
      <c r="J335" s="24" t="str">
        <f aca="false">IF(H335&gt;=TotalStations,"",INDEX($C$10:$C$25,MATCH(SUMPRODUCT(($A$10:$A$25&lt;&gt;"")*($D$10:$D$25&lt;=H335))+1,$E$10:$E$25,0)))</f>
        <v/>
      </c>
      <c r="K335" s="24" t="n">
        <f aca="false">IF(H335&gt;=TotalStations,0,IF(B335="Dédié",MIN(FLOOR(420/J335,1),(TotalStations-H335)),MIN(2,(TotalStations-H335))))</f>
        <v>0</v>
      </c>
      <c r="L335" s="24" t="n">
        <f aca="false">H335+K335</f>
        <v>199</v>
      </c>
      <c r="M335" s="24" t="n">
        <f aca="false">Q334</f>
        <v>199</v>
      </c>
      <c r="N335" s="24" t="str">
        <f aca="false">IF(M335&gt;=TotalStations,"Terminé",INDEX($A$10:$A$25,MATCH(SUMPRODUCT(($A$10:$A$25&lt;&gt;"")*($D$10:$D$25&lt;=M335))+1,$E$10:$E$25,0)))</f>
        <v>Terminé</v>
      </c>
      <c r="O335" s="24" t="str">
        <f aca="false">IF(M335&gt;=TotalStations,"",INDEX($C$10:$C$25,MATCH(SUMPRODUCT(($A$10:$A$25&lt;&gt;"")*($D$10:$D$25&lt;=M335))+1,$E$10:$E$25,0)))</f>
        <v/>
      </c>
      <c r="P335" s="24" t="n">
        <f aca="false">IF(M335&gt;=TotalStations,0,MIN(FLOOR(420/O335,1),(TotalStations-M335)))</f>
        <v>0</v>
      </c>
      <c r="Q335" s="24" t="n">
        <f aca="false">M335+P335</f>
        <v>199</v>
      </c>
    </row>
    <row r="336" customFormat="false" ht="15" hidden="false" customHeight="true" outlineLevel="0" collapsed="false">
      <c r="A336" s="37" t="n">
        <f aca="false">WORKDAY(A335,1)</f>
        <v>46643</v>
      </c>
      <c r="B336" s="24" t="str">
        <f aca="false">IF(COUNTIF($B$5:$F$5,A336)&gt;0,"Dédié","Normal")</f>
        <v>Normal</v>
      </c>
      <c r="C336" s="24" t="n">
        <f aca="false">G335</f>
        <v>199</v>
      </c>
      <c r="D336" s="24" t="str">
        <f aca="false">IF(C336&gt;=TotalStations,"Terminé",INDEX($A$10:$A$25,MATCH(SUMPRODUCT(($A$10:$A$25&lt;&gt;"")*($D$10:$D$25&lt;=C336))+1,$E$10:$E$25,0)))</f>
        <v>Terminé</v>
      </c>
      <c r="E336" s="24" t="str">
        <f aca="false">IF(C336&gt;=TotalStations,"",INDEX($C$10:$C$25,MATCH(SUMPRODUCT(($A$10:$A$25&lt;&gt;"")*($D$10:$D$25&lt;=C336))+1,$E$10:$E$25,0)))</f>
        <v/>
      </c>
      <c r="F336" s="24" t="n">
        <f aca="false">IF(C336&gt;=TotalStations,0,IF(B336="Dédié",MIN(FLOOR(420/E336,1),(TotalStations-C336)),MIN(1,(TotalStations-C336))))</f>
        <v>0</v>
      </c>
      <c r="G336" s="24" t="n">
        <f aca="false">C336+F336</f>
        <v>199</v>
      </c>
      <c r="H336" s="24" t="n">
        <f aca="false">L335</f>
        <v>199</v>
      </c>
      <c r="I336" s="24" t="str">
        <f aca="false">IF(H336&gt;=TotalStations,"Terminé",INDEX($A$10:$A$25,MATCH(SUMPRODUCT(($A$10:$A$25&lt;&gt;"")*($D$10:$D$25&lt;=H336))+1,$E$10:$E$25,0)))</f>
        <v>Terminé</v>
      </c>
      <c r="J336" s="24" t="str">
        <f aca="false">IF(H336&gt;=TotalStations,"",INDEX($C$10:$C$25,MATCH(SUMPRODUCT(($A$10:$A$25&lt;&gt;"")*($D$10:$D$25&lt;=H336))+1,$E$10:$E$25,0)))</f>
        <v/>
      </c>
      <c r="K336" s="24" t="n">
        <f aca="false">IF(H336&gt;=TotalStations,0,IF(B336="Dédié",MIN(FLOOR(420/J336,1),(TotalStations-H336)),MIN(2,(TotalStations-H336))))</f>
        <v>0</v>
      </c>
      <c r="L336" s="24" t="n">
        <f aca="false">H336+K336</f>
        <v>199</v>
      </c>
      <c r="M336" s="24" t="n">
        <f aca="false">Q335</f>
        <v>199</v>
      </c>
      <c r="N336" s="24" t="str">
        <f aca="false">IF(M336&gt;=TotalStations,"Terminé",INDEX($A$10:$A$25,MATCH(SUMPRODUCT(($A$10:$A$25&lt;&gt;"")*($D$10:$D$25&lt;=M336))+1,$E$10:$E$25,0)))</f>
        <v>Terminé</v>
      </c>
      <c r="O336" s="24" t="str">
        <f aca="false">IF(M336&gt;=TotalStations,"",INDEX($C$10:$C$25,MATCH(SUMPRODUCT(($A$10:$A$25&lt;&gt;"")*($D$10:$D$25&lt;=M336))+1,$E$10:$E$25,0)))</f>
        <v/>
      </c>
      <c r="P336" s="24" t="n">
        <f aca="false">IF(M336&gt;=TotalStations,0,MIN(FLOOR(420/O336,1),(TotalStations-M336)))</f>
        <v>0</v>
      </c>
      <c r="Q336" s="24" t="n">
        <f aca="false">M336+P336</f>
        <v>199</v>
      </c>
    </row>
    <row r="337" customFormat="false" ht="15" hidden="false" customHeight="true" outlineLevel="0" collapsed="false">
      <c r="A337" s="37" t="n">
        <f aca="false">WORKDAY(A336,1)</f>
        <v>46644</v>
      </c>
      <c r="B337" s="24" t="str">
        <f aca="false">IF(COUNTIF($B$5:$F$5,A337)&gt;0,"Dédié","Normal")</f>
        <v>Normal</v>
      </c>
      <c r="C337" s="24" t="n">
        <f aca="false">G336</f>
        <v>199</v>
      </c>
      <c r="D337" s="24" t="str">
        <f aca="false">IF(C337&gt;=TotalStations,"Terminé",INDEX($A$10:$A$25,MATCH(SUMPRODUCT(($A$10:$A$25&lt;&gt;"")*($D$10:$D$25&lt;=C337))+1,$E$10:$E$25,0)))</f>
        <v>Terminé</v>
      </c>
      <c r="E337" s="24" t="str">
        <f aca="false">IF(C337&gt;=TotalStations,"",INDEX($C$10:$C$25,MATCH(SUMPRODUCT(($A$10:$A$25&lt;&gt;"")*($D$10:$D$25&lt;=C337))+1,$E$10:$E$25,0)))</f>
        <v/>
      </c>
      <c r="F337" s="24" t="n">
        <f aca="false">IF(C337&gt;=TotalStations,0,IF(B337="Dédié",MIN(FLOOR(420/E337,1),(TotalStations-C337)),MIN(1,(TotalStations-C337))))</f>
        <v>0</v>
      </c>
      <c r="G337" s="24" t="n">
        <f aca="false">C337+F337</f>
        <v>199</v>
      </c>
      <c r="H337" s="24" t="n">
        <f aca="false">L336</f>
        <v>199</v>
      </c>
      <c r="I337" s="24" t="str">
        <f aca="false">IF(H337&gt;=TotalStations,"Terminé",INDEX($A$10:$A$25,MATCH(SUMPRODUCT(($A$10:$A$25&lt;&gt;"")*($D$10:$D$25&lt;=H337))+1,$E$10:$E$25,0)))</f>
        <v>Terminé</v>
      </c>
      <c r="J337" s="24" t="str">
        <f aca="false">IF(H337&gt;=TotalStations,"",INDEX($C$10:$C$25,MATCH(SUMPRODUCT(($A$10:$A$25&lt;&gt;"")*($D$10:$D$25&lt;=H337))+1,$E$10:$E$25,0)))</f>
        <v/>
      </c>
      <c r="K337" s="24" t="n">
        <f aca="false">IF(H337&gt;=TotalStations,0,IF(B337="Dédié",MIN(FLOOR(420/J337,1),(TotalStations-H337)),MIN(2,(TotalStations-H337))))</f>
        <v>0</v>
      </c>
      <c r="L337" s="24" t="n">
        <f aca="false">H337+K337</f>
        <v>199</v>
      </c>
      <c r="M337" s="24" t="n">
        <f aca="false">Q336</f>
        <v>199</v>
      </c>
      <c r="N337" s="24" t="str">
        <f aca="false">IF(M337&gt;=TotalStations,"Terminé",INDEX($A$10:$A$25,MATCH(SUMPRODUCT(($A$10:$A$25&lt;&gt;"")*($D$10:$D$25&lt;=M337))+1,$E$10:$E$25,0)))</f>
        <v>Terminé</v>
      </c>
      <c r="O337" s="24" t="str">
        <f aca="false">IF(M337&gt;=TotalStations,"",INDEX($C$10:$C$25,MATCH(SUMPRODUCT(($A$10:$A$25&lt;&gt;"")*($D$10:$D$25&lt;=M337))+1,$E$10:$E$25,0)))</f>
        <v/>
      </c>
      <c r="P337" s="24" t="n">
        <f aca="false">IF(M337&gt;=TotalStations,0,MIN(FLOOR(420/O337,1),(TotalStations-M337)))</f>
        <v>0</v>
      </c>
      <c r="Q337" s="24" t="n">
        <f aca="false">M337+P337</f>
        <v>199</v>
      </c>
    </row>
    <row r="338" customFormat="false" ht="15" hidden="false" customHeight="true" outlineLevel="0" collapsed="false">
      <c r="A338" s="37" t="n">
        <f aca="false">WORKDAY(A337,1)</f>
        <v>46645</v>
      </c>
      <c r="B338" s="24" t="str">
        <f aca="false">IF(COUNTIF($B$5:$F$5,A338)&gt;0,"Dédié","Normal")</f>
        <v>Normal</v>
      </c>
      <c r="C338" s="24" t="n">
        <f aca="false">G337</f>
        <v>199</v>
      </c>
      <c r="D338" s="24" t="str">
        <f aca="false">IF(C338&gt;=TotalStations,"Terminé",INDEX($A$10:$A$25,MATCH(SUMPRODUCT(($A$10:$A$25&lt;&gt;"")*($D$10:$D$25&lt;=C338))+1,$E$10:$E$25,0)))</f>
        <v>Terminé</v>
      </c>
      <c r="E338" s="24" t="str">
        <f aca="false">IF(C338&gt;=TotalStations,"",INDEX($C$10:$C$25,MATCH(SUMPRODUCT(($A$10:$A$25&lt;&gt;"")*($D$10:$D$25&lt;=C338))+1,$E$10:$E$25,0)))</f>
        <v/>
      </c>
      <c r="F338" s="24" t="n">
        <f aca="false">IF(C338&gt;=TotalStations,0,IF(B338="Dédié",MIN(FLOOR(420/E338,1),(TotalStations-C338)),MIN(1,(TotalStations-C338))))</f>
        <v>0</v>
      </c>
      <c r="G338" s="24" t="n">
        <f aca="false">C338+F338</f>
        <v>199</v>
      </c>
      <c r="H338" s="24" t="n">
        <f aca="false">L337</f>
        <v>199</v>
      </c>
      <c r="I338" s="24" t="str">
        <f aca="false">IF(H338&gt;=TotalStations,"Terminé",INDEX($A$10:$A$25,MATCH(SUMPRODUCT(($A$10:$A$25&lt;&gt;"")*($D$10:$D$25&lt;=H338))+1,$E$10:$E$25,0)))</f>
        <v>Terminé</v>
      </c>
      <c r="J338" s="24" t="str">
        <f aca="false">IF(H338&gt;=TotalStations,"",INDEX($C$10:$C$25,MATCH(SUMPRODUCT(($A$10:$A$25&lt;&gt;"")*($D$10:$D$25&lt;=H338))+1,$E$10:$E$25,0)))</f>
        <v/>
      </c>
      <c r="K338" s="24" t="n">
        <f aca="false">IF(H338&gt;=TotalStations,0,IF(B338="Dédié",MIN(FLOOR(420/J338,1),(TotalStations-H338)),MIN(2,(TotalStations-H338))))</f>
        <v>0</v>
      </c>
      <c r="L338" s="24" t="n">
        <f aca="false">H338+K338</f>
        <v>199</v>
      </c>
      <c r="M338" s="24" t="n">
        <f aca="false">Q337</f>
        <v>199</v>
      </c>
      <c r="N338" s="24" t="str">
        <f aca="false">IF(M338&gt;=TotalStations,"Terminé",INDEX($A$10:$A$25,MATCH(SUMPRODUCT(($A$10:$A$25&lt;&gt;"")*($D$10:$D$25&lt;=M338))+1,$E$10:$E$25,0)))</f>
        <v>Terminé</v>
      </c>
      <c r="O338" s="24" t="str">
        <f aca="false">IF(M338&gt;=TotalStations,"",INDEX($C$10:$C$25,MATCH(SUMPRODUCT(($A$10:$A$25&lt;&gt;"")*($D$10:$D$25&lt;=M338))+1,$E$10:$E$25,0)))</f>
        <v/>
      </c>
      <c r="P338" s="24" t="n">
        <f aca="false">IF(M338&gt;=TotalStations,0,MIN(FLOOR(420/O338,1),(TotalStations-M338)))</f>
        <v>0</v>
      </c>
      <c r="Q338" s="24" t="n">
        <f aca="false">M338+P338</f>
        <v>199</v>
      </c>
    </row>
    <row r="339" customFormat="false" ht="15" hidden="false" customHeight="true" outlineLevel="0" collapsed="false">
      <c r="A339" s="37" t="n">
        <f aca="false">WORKDAY(A338,1)</f>
        <v>46646</v>
      </c>
      <c r="B339" s="24" t="str">
        <f aca="false">IF(COUNTIF($B$5:$F$5,A339)&gt;0,"Dédié","Normal")</f>
        <v>Normal</v>
      </c>
      <c r="C339" s="24" t="n">
        <f aca="false">G338</f>
        <v>199</v>
      </c>
      <c r="D339" s="24" t="str">
        <f aca="false">IF(C339&gt;=TotalStations,"Terminé",INDEX($A$10:$A$25,MATCH(SUMPRODUCT(($A$10:$A$25&lt;&gt;"")*($D$10:$D$25&lt;=C339))+1,$E$10:$E$25,0)))</f>
        <v>Terminé</v>
      </c>
      <c r="E339" s="24" t="str">
        <f aca="false">IF(C339&gt;=TotalStations,"",INDEX($C$10:$C$25,MATCH(SUMPRODUCT(($A$10:$A$25&lt;&gt;"")*($D$10:$D$25&lt;=C339))+1,$E$10:$E$25,0)))</f>
        <v/>
      </c>
      <c r="F339" s="24" t="n">
        <f aca="false">IF(C339&gt;=TotalStations,0,IF(B339="Dédié",MIN(FLOOR(420/E339,1),(TotalStations-C339)),MIN(1,(TotalStations-C339))))</f>
        <v>0</v>
      </c>
      <c r="G339" s="24" t="n">
        <f aca="false">C339+F339</f>
        <v>199</v>
      </c>
      <c r="H339" s="24" t="n">
        <f aca="false">L338</f>
        <v>199</v>
      </c>
      <c r="I339" s="24" t="str">
        <f aca="false">IF(H339&gt;=TotalStations,"Terminé",INDEX($A$10:$A$25,MATCH(SUMPRODUCT(($A$10:$A$25&lt;&gt;"")*($D$10:$D$25&lt;=H339))+1,$E$10:$E$25,0)))</f>
        <v>Terminé</v>
      </c>
      <c r="J339" s="24" t="str">
        <f aca="false">IF(H339&gt;=TotalStations,"",INDEX($C$10:$C$25,MATCH(SUMPRODUCT(($A$10:$A$25&lt;&gt;"")*($D$10:$D$25&lt;=H339))+1,$E$10:$E$25,0)))</f>
        <v/>
      </c>
      <c r="K339" s="24" t="n">
        <f aca="false">IF(H339&gt;=TotalStations,0,IF(B339="Dédié",MIN(FLOOR(420/J339,1),(TotalStations-H339)),MIN(2,(TotalStations-H339))))</f>
        <v>0</v>
      </c>
      <c r="L339" s="24" t="n">
        <f aca="false">H339+K339</f>
        <v>199</v>
      </c>
      <c r="M339" s="24" t="n">
        <f aca="false">Q338</f>
        <v>199</v>
      </c>
      <c r="N339" s="24" t="str">
        <f aca="false">IF(M339&gt;=TotalStations,"Terminé",INDEX($A$10:$A$25,MATCH(SUMPRODUCT(($A$10:$A$25&lt;&gt;"")*($D$10:$D$25&lt;=M339))+1,$E$10:$E$25,0)))</f>
        <v>Terminé</v>
      </c>
      <c r="O339" s="24" t="str">
        <f aca="false">IF(M339&gt;=TotalStations,"",INDEX($C$10:$C$25,MATCH(SUMPRODUCT(($A$10:$A$25&lt;&gt;"")*($D$10:$D$25&lt;=M339))+1,$E$10:$E$25,0)))</f>
        <v/>
      </c>
      <c r="P339" s="24" t="n">
        <f aca="false">IF(M339&gt;=TotalStations,0,MIN(FLOOR(420/O339,1),(TotalStations-M339)))</f>
        <v>0</v>
      </c>
      <c r="Q339" s="24" t="n">
        <f aca="false">M339+P339</f>
        <v>199</v>
      </c>
    </row>
    <row r="340" customFormat="false" ht="15" hidden="false" customHeight="true" outlineLevel="0" collapsed="false">
      <c r="A340" s="37" t="n">
        <f aca="false">WORKDAY(A339,1)</f>
        <v>46647</v>
      </c>
      <c r="B340" s="24" t="str">
        <f aca="false">IF(COUNTIF($B$5:$F$5,A340)&gt;0,"Dédié","Normal")</f>
        <v>Normal</v>
      </c>
      <c r="C340" s="24" t="n">
        <f aca="false">G339</f>
        <v>199</v>
      </c>
      <c r="D340" s="24" t="str">
        <f aca="false">IF(C340&gt;=TotalStations,"Terminé",INDEX($A$10:$A$25,MATCH(SUMPRODUCT(($A$10:$A$25&lt;&gt;"")*($D$10:$D$25&lt;=C340))+1,$E$10:$E$25,0)))</f>
        <v>Terminé</v>
      </c>
      <c r="E340" s="24" t="str">
        <f aca="false">IF(C340&gt;=TotalStations,"",INDEX($C$10:$C$25,MATCH(SUMPRODUCT(($A$10:$A$25&lt;&gt;"")*($D$10:$D$25&lt;=C340))+1,$E$10:$E$25,0)))</f>
        <v/>
      </c>
      <c r="F340" s="24" t="n">
        <f aca="false">IF(C340&gt;=TotalStations,0,IF(B340="Dédié",MIN(FLOOR(420/E340,1),(TotalStations-C340)),MIN(1,(TotalStations-C340))))</f>
        <v>0</v>
      </c>
      <c r="G340" s="24" t="n">
        <f aca="false">C340+F340</f>
        <v>199</v>
      </c>
      <c r="H340" s="24" t="n">
        <f aca="false">L339</f>
        <v>199</v>
      </c>
      <c r="I340" s="24" t="str">
        <f aca="false">IF(H340&gt;=TotalStations,"Terminé",INDEX($A$10:$A$25,MATCH(SUMPRODUCT(($A$10:$A$25&lt;&gt;"")*($D$10:$D$25&lt;=H340))+1,$E$10:$E$25,0)))</f>
        <v>Terminé</v>
      </c>
      <c r="J340" s="24" t="str">
        <f aca="false">IF(H340&gt;=TotalStations,"",INDEX($C$10:$C$25,MATCH(SUMPRODUCT(($A$10:$A$25&lt;&gt;"")*($D$10:$D$25&lt;=H340))+1,$E$10:$E$25,0)))</f>
        <v/>
      </c>
      <c r="K340" s="24" t="n">
        <f aca="false">IF(H340&gt;=TotalStations,0,IF(B340="Dédié",MIN(FLOOR(420/J340,1),(TotalStations-H340)),MIN(2,(TotalStations-H340))))</f>
        <v>0</v>
      </c>
      <c r="L340" s="24" t="n">
        <f aca="false">H340+K340</f>
        <v>199</v>
      </c>
      <c r="M340" s="24" t="n">
        <f aca="false">Q339</f>
        <v>199</v>
      </c>
      <c r="N340" s="24" t="str">
        <f aca="false">IF(M340&gt;=TotalStations,"Terminé",INDEX($A$10:$A$25,MATCH(SUMPRODUCT(($A$10:$A$25&lt;&gt;"")*($D$10:$D$25&lt;=M340))+1,$E$10:$E$25,0)))</f>
        <v>Terminé</v>
      </c>
      <c r="O340" s="24" t="str">
        <f aca="false">IF(M340&gt;=TotalStations,"",INDEX($C$10:$C$25,MATCH(SUMPRODUCT(($A$10:$A$25&lt;&gt;"")*($D$10:$D$25&lt;=M340))+1,$E$10:$E$25,0)))</f>
        <v/>
      </c>
      <c r="P340" s="24" t="n">
        <f aca="false">IF(M340&gt;=TotalStations,0,MIN(FLOOR(420/O340,1),(TotalStations-M340)))</f>
        <v>0</v>
      </c>
      <c r="Q340" s="24" t="n">
        <f aca="false">M340+P340</f>
        <v>199</v>
      </c>
    </row>
    <row r="341" customFormat="false" ht="15" hidden="false" customHeight="true" outlineLevel="0" collapsed="false">
      <c r="A341" s="37" t="n">
        <f aca="false">WORKDAY(A340,1)</f>
        <v>46650</v>
      </c>
      <c r="B341" s="24" t="str">
        <f aca="false">IF(COUNTIF($B$5:$F$5,A341)&gt;0,"Dédié","Normal")</f>
        <v>Normal</v>
      </c>
      <c r="C341" s="24" t="n">
        <f aca="false">G340</f>
        <v>199</v>
      </c>
      <c r="D341" s="24" t="str">
        <f aca="false">IF(C341&gt;=TotalStations,"Terminé",INDEX($A$10:$A$25,MATCH(SUMPRODUCT(($A$10:$A$25&lt;&gt;"")*($D$10:$D$25&lt;=C341))+1,$E$10:$E$25,0)))</f>
        <v>Terminé</v>
      </c>
      <c r="E341" s="24" t="str">
        <f aca="false">IF(C341&gt;=TotalStations,"",INDEX($C$10:$C$25,MATCH(SUMPRODUCT(($A$10:$A$25&lt;&gt;"")*($D$10:$D$25&lt;=C341))+1,$E$10:$E$25,0)))</f>
        <v/>
      </c>
      <c r="F341" s="24" t="n">
        <f aca="false">IF(C341&gt;=TotalStations,0,IF(B341="Dédié",MIN(FLOOR(420/E341,1),(TotalStations-C341)),MIN(1,(TotalStations-C341))))</f>
        <v>0</v>
      </c>
      <c r="G341" s="24" t="n">
        <f aca="false">C341+F341</f>
        <v>199</v>
      </c>
      <c r="H341" s="24" t="n">
        <f aca="false">L340</f>
        <v>199</v>
      </c>
      <c r="I341" s="24" t="str">
        <f aca="false">IF(H341&gt;=TotalStations,"Terminé",INDEX($A$10:$A$25,MATCH(SUMPRODUCT(($A$10:$A$25&lt;&gt;"")*($D$10:$D$25&lt;=H341))+1,$E$10:$E$25,0)))</f>
        <v>Terminé</v>
      </c>
      <c r="J341" s="24" t="str">
        <f aca="false">IF(H341&gt;=TotalStations,"",INDEX($C$10:$C$25,MATCH(SUMPRODUCT(($A$10:$A$25&lt;&gt;"")*($D$10:$D$25&lt;=H341))+1,$E$10:$E$25,0)))</f>
        <v/>
      </c>
      <c r="K341" s="24" t="n">
        <f aca="false">IF(H341&gt;=TotalStations,0,IF(B341="Dédié",MIN(FLOOR(420/J341,1),(TotalStations-H341)),MIN(2,(TotalStations-H341))))</f>
        <v>0</v>
      </c>
      <c r="L341" s="24" t="n">
        <f aca="false">H341+K341</f>
        <v>199</v>
      </c>
      <c r="M341" s="24" t="n">
        <f aca="false">Q340</f>
        <v>199</v>
      </c>
      <c r="N341" s="24" t="str">
        <f aca="false">IF(M341&gt;=TotalStations,"Terminé",INDEX($A$10:$A$25,MATCH(SUMPRODUCT(($A$10:$A$25&lt;&gt;"")*($D$10:$D$25&lt;=M341))+1,$E$10:$E$25,0)))</f>
        <v>Terminé</v>
      </c>
      <c r="O341" s="24" t="str">
        <f aca="false">IF(M341&gt;=TotalStations,"",INDEX($C$10:$C$25,MATCH(SUMPRODUCT(($A$10:$A$25&lt;&gt;"")*($D$10:$D$25&lt;=M341))+1,$E$10:$E$25,0)))</f>
        <v/>
      </c>
      <c r="P341" s="24" t="n">
        <f aca="false">IF(M341&gt;=TotalStations,0,MIN(FLOOR(420/O341,1),(TotalStations-M341)))</f>
        <v>0</v>
      </c>
      <c r="Q341" s="24" t="n">
        <f aca="false">M341+P341</f>
        <v>199</v>
      </c>
    </row>
    <row r="342" customFormat="false" ht="15" hidden="false" customHeight="true" outlineLevel="0" collapsed="false">
      <c r="A342" s="37" t="n">
        <f aca="false">WORKDAY(A341,1)</f>
        <v>46651</v>
      </c>
      <c r="B342" s="24" t="str">
        <f aca="false">IF(COUNTIF($B$5:$F$5,A342)&gt;0,"Dédié","Normal")</f>
        <v>Normal</v>
      </c>
      <c r="C342" s="24" t="n">
        <f aca="false">G341</f>
        <v>199</v>
      </c>
      <c r="D342" s="24" t="str">
        <f aca="false">IF(C342&gt;=TotalStations,"Terminé",INDEX($A$10:$A$25,MATCH(SUMPRODUCT(($A$10:$A$25&lt;&gt;"")*($D$10:$D$25&lt;=C342))+1,$E$10:$E$25,0)))</f>
        <v>Terminé</v>
      </c>
      <c r="E342" s="24" t="str">
        <f aca="false">IF(C342&gt;=TotalStations,"",INDEX($C$10:$C$25,MATCH(SUMPRODUCT(($A$10:$A$25&lt;&gt;"")*($D$10:$D$25&lt;=C342))+1,$E$10:$E$25,0)))</f>
        <v/>
      </c>
      <c r="F342" s="24" t="n">
        <f aca="false">IF(C342&gt;=TotalStations,0,IF(B342="Dédié",MIN(FLOOR(420/E342,1),(TotalStations-C342)),MIN(1,(TotalStations-C342))))</f>
        <v>0</v>
      </c>
      <c r="G342" s="24" t="n">
        <f aca="false">C342+F342</f>
        <v>199</v>
      </c>
      <c r="H342" s="24" t="n">
        <f aca="false">L341</f>
        <v>199</v>
      </c>
      <c r="I342" s="24" t="str">
        <f aca="false">IF(H342&gt;=TotalStations,"Terminé",INDEX($A$10:$A$25,MATCH(SUMPRODUCT(($A$10:$A$25&lt;&gt;"")*($D$10:$D$25&lt;=H342))+1,$E$10:$E$25,0)))</f>
        <v>Terminé</v>
      </c>
      <c r="J342" s="24" t="str">
        <f aca="false">IF(H342&gt;=TotalStations,"",INDEX($C$10:$C$25,MATCH(SUMPRODUCT(($A$10:$A$25&lt;&gt;"")*($D$10:$D$25&lt;=H342))+1,$E$10:$E$25,0)))</f>
        <v/>
      </c>
      <c r="K342" s="24" t="n">
        <f aca="false">IF(H342&gt;=TotalStations,0,IF(B342="Dédié",MIN(FLOOR(420/J342,1),(TotalStations-H342)),MIN(2,(TotalStations-H342))))</f>
        <v>0</v>
      </c>
      <c r="L342" s="24" t="n">
        <f aca="false">H342+K342</f>
        <v>199</v>
      </c>
      <c r="M342" s="24" t="n">
        <f aca="false">Q341</f>
        <v>199</v>
      </c>
      <c r="N342" s="24" t="str">
        <f aca="false">IF(M342&gt;=TotalStations,"Terminé",INDEX($A$10:$A$25,MATCH(SUMPRODUCT(($A$10:$A$25&lt;&gt;"")*($D$10:$D$25&lt;=M342))+1,$E$10:$E$25,0)))</f>
        <v>Terminé</v>
      </c>
      <c r="O342" s="24" t="str">
        <f aca="false">IF(M342&gt;=TotalStations,"",INDEX($C$10:$C$25,MATCH(SUMPRODUCT(($A$10:$A$25&lt;&gt;"")*($D$10:$D$25&lt;=M342))+1,$E$10:$E$25,0)))</f>
        <v/>
      </c>
      <c r="P342" s="24" t="n">
        <f aca="false">IF(M342&gt;=TotalStations,0,MIN(FLOOR(420/O342,1),(TotalStations-M342)))</f>
        <v>0</v>
      </c>
      <c r="Q342" s="24" t="n">
        <f aca="false">M342+P342</f>
        <v>199</v>
      </c>
    </row>
    <row r="343" customFormat="false" ht="15" hidden="false" customHeight="true" outlineLevel="0" collapsed="false">
      <c r="A343" s="37" t="n">
        <f aca="false">WORKDAY(A342,1)</f>
        <v>46652</v>
      </c>
      <c r="B343" s="24" t="str">
        <f aca="false">IF(COUNTIF($B$5:$F$5,A343)&gt;0,"Dédié","Normal")</f>
        <v>Normal</v>
      </c>
      <c r="C343" s="24" t="n">
        <f aca="false">G342</f>
        <v>199</v>
      </c>
      <c r="D343" s="24" t="str">
        <f aca="false">IF(C343&gt;=TotalStations,"Terminé",INDEX($A$10:$A$25,MATCH(SUMPRODUCT(($A$10:$A$25&lt;&gt;"")*($D$10:$D$25&lt;=C343))+1,$E$10:$E$25,0)))</f>
        <v>Terminé</v>
      </c>
      <c r="E343" s="24" t="str">
        <f aca="false">IF(C343&gt;=TotalStations,"",INDEX($C$10:$C$25,MATCH(SUMPRODUCT(($A$10:$A$25&lt;&gt;"")*($D$10:$D$25&lt;=C343))+1,$E$10:$E$25,0)))</f>
        <v/>
      </c>
      <c r="F343" s="24" t="n">
        <f aca="false">IF(C343&gt;=TotalStations,0,IF(B343="Dédié",MIN(FLOOR(420/E343,1),(TotalStations-C343)),MIN(1,(TotalStations-C343))))</f>
        <v>0</v>
      </c>
      <c r="G343" s="24" t="n">
        <f aca="false">C343+F343</f>
        <v>199</v>
      </c>
      <c r="H343" s="24" t="n">
        <f aca="false">L342</f>
        <v>199</v>
      </c>
      <c r="I343" s="24" t="str">
        <f aca="false">IF(H343&gt;=TotalStations,"Terminé",INDEX($A$10:$A$25,MATCH(SUMPRODUCT(($A$10:$A$25&lt;&gt;"")*($D$10:$D$25&lt;=H343))+1,$E$10:$E$25,0)))</f>
        <v>Terminé</v>
      </c>
      <c r="J343" s="24" t="str">
        <f aca="false">IF(H343&gt;=TotalStations,"",INDEX($C$10:$C$25,MATCH(SUMPRODUCT(($A$10:$A$25&lt;&gt;"")*($D$10:$D$25&lt;=H343))+1,$E$10:$E$25,0)))</f>
        <v/>
      </c>
      <c r="K343" s="24" t="n">
        <f aca="false">IF(H343&gt;=TotalStations,0,IF(B343="Dédié",MIN(FLOOR(420/J343,1),(TotalStations-H343)),MIN(2,(TotalStations-H343))))</f>
        <v>0</v>
      </c>
      <c r="L343" s="24" t="n">
        <f aca="false">H343+K343</f>
        <v>199</v>
      </c>
      <c r="M343" s="24" t="n">
        <f aca="false">Q342</f>
        <v>199</v>
      </c>
      <c r="N343" s="24" t="str">
        <f aca="false">IF(M343&gt;=TotalStations,"Terminé",INDEX($A$10:$A$25,MATCH(SUMPRODUCT(($A$10:$A$25&lt;&gt;"")*($D$10:$D$25&lt;=M343))+1,$E$10:$E$25,0)))</f>
        <v>Terminé</v>
      </c>
      <c r="O343" s="24" t="str">
        <f aca="false">IF(M343&gt;=TotalStations,"",INDEX($C$10:$C$25,MATCH(SUMPRODUCT(($A$10:$A$25&lt;&gt;"")*($D$10:$D$25&lt;=M343))+1,$E$10:$E$25,0)))</f>
        <v/>
      </c>
      <c r="P343" s="24" t="n">
        <f aca="false">IF(M343&gt;=TotalStations,0,MIN(FLOOR(420/O343,1),(TotalStations-M343)))</f>
        <v>0</v>
      </c>
      <c r="Q343" s="24" t="n">
        <f aca="false">M343+P343</f>
        <v>199</v>
      </c>
    </row>
    <row r="344" customFormat="false" ht="15" hidden="false" customHeight="true" outlineLevel="0" collapsed="false">
      <c r="A344" s="37" t="n">
        <f aca="false">WORKDAY(A343,1)</f>
        <v>46653</v>
      </c>
      <c r="B344" s="24" t="str">
        <f aca="false">IF(COUNTIF($B$5:$F$5,A344)&gt;0,"Dédié","Normal")</f>
        <v>Normal</v>
      </c>
      <c r="C344" s="24" t="n">
        <f aca="false">G343</f>
        <v>199</v>
      </c>
      <c r="D344" s="24" t="str">
        <f aca="false">IF(C344&gt;=TotalStations,"Terminé",INDEX($A$10:$A$25,MATCH(SUMPRODUCT(($A$10:$A$25&lt;&gt;"")*($D$10:$D$25&lt;=C344))+1,$E$10:$E$25,0)))</f>
        <v>Terminé</v>
      </c>
      <c r="E344" s="24" t="str">
        <f aca="false">IF(C344&gt;=TotalStations,"",INDEX($C$10:$C$25,MATCH(SUMPRODUCT(($A$10:$A$25&lt;&gt;"")*($D$10:$D$25&lt;=C344))+1,$E$10:$E$25,0)))</f>
        <v/>
      </c>
      <c r="F344" s="24" t="n">
        <f aca="false">IF(C344&gt;=TotalStations,0,IF(B344="Dédié",MIN(FLOOR(420/E344,1),(TotalStations-C344)),MIN(1,(TotalStations-C344))))</f>
        <v>0</v>
      </c>
      <c r="G344" s="24" t="n">
        <f aca="false">C344+F344</f>
        <v>199</v>
      </c>
      <c r="H344" s="24" t="n">
        <f aca="false">L343</f>
        <v>199</v>
      </c>
      <c r="I344" s="24" t="str">
        <f aca="false">IF(H344&gt;=TotalStations,"Terminé",INDEX($A$10:$A$25,MATCH(SUMPRODUCT(($A$10:$A$25&lt;&gt;"")*($D$10:$D$25&lt;=H344))+1,$E$10:$E$25,0)))</f>
        <v>Terminé</v>
      </c>
      <c r="J344" s="24" t="str">
        <f aca="false">IF(H344&gt;=TotalStations,"",INDEX($C$10:$C$25,MATCH(SUMPRODUCT(($A$10:$A$25&lt;&gt;"")*($D$10:$D$25&lt;=H344))+1,$E$10:$E$25,0)))</f>
        <v/>
      </c>
      <c r="K344" s="24" t="n">
        <f aca="false">IF(H344&gt;=TotalStations,0,IF(B344="Dédié",MIN(FLOOR(420/J344,1),(TotalStations-H344)),MIN(2,(TotalStations-H344))))</f>
        <v>0</v>
      </c>
      <c r="L344" s="24" t="n">
        <f aca="false">H344+K344</f>
        <v>199</v>
      </c>
      <c r="M344" s="24" t="n">
        <f aca="false">Q343</f>
        <v>199</v>
      </c>
      <c r="N344" s="24" t="str">
        <f aca="false">IF(M344&gt;=TotalStations,"Terminé",INDEX($A$10:$A$25,MATCH(SUMPRODUCT(($A$10:$A$25&lt;&gt;"")*($D$10:$D$25&lt;=M344))+1,$E$10:$E$25,0)))</f>
        <v>Terminé</v>
      </c>
      <c r="O344" s="24" t="str">
        <f aca="false">IF(M344&gt;=TotalStations,"",INDEX($C$10:$C$25,MATCH(SUMPRODUCT(($A$10:$A$25&lt;&gt;"")*($D$10:$D$25&lt;=M344))+1,$E$10:$E$25,0)))</f>
        <v/>
      </c>
      <c r="P344" s="24" t="n">
        <f aca="false">IF(M344&gt;=TotalStations,0,MIN(FLOOR(420/O344,1),(TotalStations-M344)))</f>
        <v>0</v>
      </c>
      <c r="Q344" s="24" t="n">
        <f aca="false">M344+P344</f>
        <v>199</v>
      </c>
    </row>
    <row r="345" customFormat="false" ht="15" hidden="false" customHeight="true" outlineLevel="0" collapsed="false">
      <c r="A345" s="37" t="n">
        <f aca="false">WORKDAY(A344,1)</f>
        <v>46654</v>
      </c>
      <c r="B345" s="24" t="str">
        <f aca="false">IF(COUNTIF($B$5:$F$5,A345)&gt;0,"Dédié","Normal")</f>
        <v>Normal</v>
      </c>
      <c r="C345" s="24" t="n">
        <f aca="false">G344</f>
        <v>199</v>
      </c>
      <c r="D345" s="24" t="str">
        <f aca="false">IF(C345&gt;=TotalStations,"Terminé",INDEX($A$10:$A$25,MATCH(SUMPRODUCT(($A$10:$A$25&lt;&gt;"")*($D$10:$D$25&lt;=C345))+1,$E$10:$E$25,0)))</f>
        <v>Terminé</v>
      </c>
      <c r="E345" s="24" t="str">
        <f aca="false">IF(C345&gt;=TotalStations,"",INDEX($C$10:$C$25,MATCH(SUMPRODUCT(($A$10:$A$25&lt;&gt;"")*($D$10:$D$25&lt;=C345))+1,$E$10:$E$25,0)))</f>
        <v/>
      </c>
      <c r="F345" s="24" t="n">
        <f aca="false">IF(C345&gt;=TotalStations,0,IF(B345="Dédié",MIN(FLOOR(420/E345,1),(TotalStations-C345)),MIN(1,(TotalStations-C345))))</f>
        <v>0</v>
      </c>
      <c r="G345" s="24" t="n">
        <f aca="false">C345+F345</f>
        <v>199</v>
      </c>
      <c r="H345" s="24" t="n">
        <f aca="false">L344</f>
        <v>199</v>
      </c>
      <c r="I345" s="24" t="str">
        <f aca="false">IF(H345&gt;=TotalStations,"Terminé",INDEX($A$10:$A$25,MATCH(SUMPRODUCT(($A$10:$A$25&lt;&gt;"")*($D$10:$D$25&lt;=H345))+1,$E$10:$E$25,0)))</f>
        <v>Terminé</v>
      </c>
      <c r="J345" s="24" t="str">
        <f aca="false">IF(H345&gt;=TotalStations,"",INDEX($C$10:$C$25,MATCH(SUMPRODUCT(($A$10:$A$25&lt;&gt;"")*($D$10:$D$25&lt;=H345))+1,$E$10:$E$25,0)))</f>
        <v/>
      </c>
      <c r="K345" s="24" t="n">
        <f aca="false">IF(H345&gt;=TotalStations,0,IF(B345="Dédié",MIN(FLOOR(420/J345,1),(TotalStations-H345)),MIN(2,(TotalStations-H345))))</f>
        <v>0</v>
      </c>
      <c r="L345" s="24" t="n">
        <f aca="false">H345+K345</f>
        <v>199</v>
      </c>
      <c r="M345" s="24" t="n">
        <f aca="false">Q344</f>
        <v>199</v>
      </c>
      <c r="N345" s="24" t="str">
        <f aca="false">IF(M345&gt;=TotalStations,"Terminé",INDEX($A$10:$A$25,MATCH(SUMPRODUCT(($A$10:$A$25&lt;&gt;"")*($D$10:$D$25&lt;=M345))+1,$E$10:$E$25,0)))</f>
        <v>Terminé</v>
      </c>
      <c r="O345" s="24" t="str">
        <f aca="false">IF(M345&gt;=TotalStations,"",INDEX($C$10:$C$25,MATCH(SUMPRODUCT(($A$10:$A$25&lt;&gt;"")*($D$10:$D$25&lt;=M345))+1,$E$10:$E$25,0)))</f>
        <v/>
      </c>
      <c r="P345" s="24" t="n">
        <f aca="false">IF(M345&gt;=TotalStations,0,MIN(FLOOR(420/O345,1),(TotalStations-M345)))</f>
        <v>0</v>
      </c>
      <c r="Q345" s="24" t="n">
        <f aca="false">M345+P345</f>
        <v>199</v>
      </c>
    </row>
    <row r="346" customFormat="false" ht="15" hidden="false" customHeight="true" outlineLevel="0" collapsed="false">
      <c r="A346" s="37" t="n">
        <f aca="false">WORKDAY(A345,1)</f>
        <v>46657</v>
      </c>
      <c r="B346" s="24" t="str">
        <f aca="false">IF(COUNTIF($B$5:$F$5,A346)&gt;0,"Dédié","Normal")</f>
        <v>Normal</v>
      </c>
      <c r="C346" s="24" t="n">
        <f aca="false">G345</f>
        <v>199</v>
      </c>
      <c r="D346" s="24" t="str">
        <f aca="false">IF(C346&gt;=TotalStations,"Terminé",INDEX($A$10:$A$25,MATCH(SUMPRODUCT(($A$10:$A$25&lt;&gt;"")*($D$10:$D$25&lt;=C346))+1,$E$10:$E$25,0)))</f>
        <v>Terminé</v>
      </c>
      <c r="E346" s="24" t="str">
        <f aca="false">IF(C346&gt;=TotalStations,"",INDEX($C$10:$C$25,MATCH(SUMPRODUCT(($A$10:$A$25&lt;&gt;"")*($D$10:$D$25&lt;=C346))+1,$E$10:$E$25,0)))</f>
        <v/>
      </c>
      <c r="F346" s="24" t="n">
        <f aca="false">IF(C346&gt;=TotalStations,0,IF(B346="Dédié",MIN(FLOOR(420/E346,1),(TotalStations-C346)),MIN(1,(TotalStations-C346))))</f>
        <v>0</v>
      </c>
      <c r="G346" s="24" t="n">
        <f aca="false">C346+F346</f>
        <v>199</v>
      </c>
      <c r="H346" s="24" t="n">
        <f aca="false">L345</f>
        <v>199</v>
      </c>
      <c r="I346" s="24" t="str">
        <f aca="false">IF(H346&gt;=TotalStations,"Terminé",INDEX($A$10:$A$25,MATCH(SUMPRODUCT(($A$10:$A$25&lt;&gt;"")*($D$10:$D$25&lt;=H346))+1,$E$10:$E$25,0)))</f>
        <v>Terminé</v>
      </c>
      <c r="J346" s="24" t="str">
        <f aca="false">IF(H346&gt;=TotalStations,"",INDEX($C$10:$C$25,MATCH(SUMPRODUCT(($A$10:$A$25&lt;&gt;"")*($D$10:$D$25&lt;=H346))+1,$E$10:$E$25,0)))</f>
        <v/>
      </c>
      <c r="K346" s="24" t="n">
        <f aca="false">IF(H346&gt;=TotalStations,0,IF(B346="Dédié",MIN(FLOOR(420/J346,1),(TotalStations-H346)),MIN(2,(TotalStations-H346))))</f>
        <v>0</v>
      </c>
      <c r="L346" s="24" t="n">
        <f aca="false">H346+K346</f>
        <v>199</v>
      </c>
      <c r="M346" s="24" t="n">
        <f aca="false">Q345</f>
        <v>199</v>
      </c>
      <c r="N346" s="24" t="str">
        <f aca="false">IF(M346&gt;=TotalStations,"Terminé",INDEX($A$10:$A$25,MATCH(SUMPRODUCT(($A$10:$A$25&lt;&gt;"")*($D$10:$D$25&lt;=M346))+1,$E$10:$E$25,0)))</f>
        <v>Terminé</v>
      </c>
      <c r="O346" s="24" t="str">
        <f aca="false">IF(M346&gt;=TotalStations,"",INDEX($C$10:$C$25,MATCH(SUMPRODUCT(($A$10:$A$25&lt;&gt;"")*($D$10:$D$25&lt;=M346))+1,$E$10:$E$25,0)))</f>
        <v/>
      </c>
      <c r="P346" s="24" t="n">
        <f aca="false">IF(M346&gt;=TotalStations,0,MIN(FLOOR(420/O346,1),(TotalStations-M346)))</f>
        <v>0</v>
      </c>
      <c r="Q346" s="24" t="n">
        <f aca="false">M346+P346</f>
        <v>199</v>
      </c>
    </row>
    <row r="347" customFormat="false" ht="15" hidden="false" customHeight="true" outlineLevel="0" collapsed="false">
      <c r="A347" s="37" t="n">
        <f aca="false">WORKDAY(A346,1)</f>
        <v>46658</v>
      </c>
      <c r="B347" s="24" t="str">
        <f aca="false">IF(COUNTIF($B$5:$F$5,A347)&gt;0,"Dédié","Normal")</f>
        <v>Normal</v>
      </c>
      <c r="C347" s="24" t="n">
        <f aca="false">G346</f>
        <v>199</v>
      </c>
      <c r="D347" s="24" t="str">
        <f aca="false">IF(C347&gt;=TotalStations,"Terminé",INDEX($A$10:$A$25,MATCH(SUMPRODUCT(($A$10:$A$25&lt;&gt;"")*($D$10:$D$25&lt;=C347))+1,$E$10:$E$25,0)))</f>
        <v>Terminé</v>
      </c>
      <c r="E347" s="24" t="str">
        <f aca="false">IF(C347&gt;=TotalStations,"",INDEX($C$10:$C$25,MATCH(SUMPRODUCT(($A$10:$A$25&lt;&gt;"")*($D$10:$D$25&lt;=C347))+1,$E$10:$E$25,0)))</f>
        <v/>
      </c>
      <c r="F347" s="24" t="n">
        <f aca="false">IF(C347&gt;=TotalStations,0,IF(B347="Dédié",MIN(FLOOR(420/E347,1),(TotalStations-C347)),MIN(1,(TotalStations-C347))))</f>
        <v>0</v>
      </c>
      <c r="G347" s="24" t="n">
        <f aca="false">C347+F347</f>
        <v>199</v>
      </c>
      <c r="H347" s="24" t="n">
        <f aca="false">L346</f>
        <v>199</v>
      </c>
      <c r="I347" s="24" t="str">
        <f aca="false">IF(H347&gt;=TotalStations,"Terminé",INDEX($A$10:$A$25,MATCH(SUMPRODUCT(($A$10:$A$25&lt;&gt;"")*($D$10:$D$25&lt;=H347))+1,$E$10:$E$25,0)))</f>
        <v>Terminé</v>
      </c>
      <c r="J347" s="24" t="str">
        <f aca="false">IF(H347&gt;=TotalStations,"",INDEX($C$10:$C$25,MATCH(SUMPRODUCT(($A$10:$A$25&lt;&gt;"")*($D$10:$D$25&lt;=H347))+1,$E$10:$E$25,0)))</f>
        <v/>
      </c>
      <c r="K347" s="24" t="n">
        <f aca="false">IF(H347&gt;=TotalStations,0,IF(B347="Dédié",MIN(FLOOR(420/J347,1),(TotalStations-H347)),MIN(2,(TotalStations-H347))))</f>
        <v>0</v>
      </c>
      <c r="L347" s="24" t="n">
        <f aca="false">H347+K347</f>
        <v>199</v>
      </c>
      <c r="M347" s="24" t="n">
        <f aca="false">Q346</f>
        <v>199</v>
      </c>
      <c r="N347" s="24" t="str">
        <f aca="false">IF(M347&gt;=TotalStations,"Terminé",INDEX($A$10:$A$25,MATCH(SUMPRODUCT(($A$10:$A$25&lt;&gt;"")*($D$10:$D$25&lt;=M347))+1,$E$10:$E$25,0)))</f>
        <v>Terminé</v>
      </c>
      <c r="O347" s="24" t="str">
        <f aca="false">IF(M347&gt;=TotalStations,"",INDEX($C$10:$C$25,MATCH(SUMPRODUCT(($A$10:$A$25&lt;&gt;"")*($D$10:$D$25&lt;=M347))+1,$E$10:$E$25,0)))</f>
        <v/>
      </c>
      <c r="P347" s="24" t="n">
        <f aca="false">IF(M347&gt;=TotalStations,0,MIN(FLOOR(420/O347,1),(TotalStations-M347)))</f>
        <v>0</v>
      </c>
      <c r="Q347" s="24" t="n">
        <f aca="false">M347+P347</f>
        <v>199</v>
      </c>
    </row>
    <row r="348" customFormat="false" ht="15" hidden="false" customHeight="true" outlineLevel="0" collapsed="false">
      <c r="A348" s="37" t="n">
        <f aca="false">WORKDAY(A347,1)</f>
        <v>46659</v>
      </c>
      <c r="B348" s="24" t="str">
        <f aca="false">IF(COUNTIF($B$5:$F$5,A348)&gt;0,"Dédié","Normal")</f>
        <v>Normal</v>
      </c>
      <c r="C348" s="24" t="n">
        <f aca="false">G347</f>
        <v>199</v>
      </c>
      <c r="D348" s="24" t="str">
        <f aca="false">IF(C348&gt;=TotalStations,"Terminé",INDEX($A$10:$A$25,MATCH(SUMPRODUCT(($A$10:$A$25&lt;&gt;"")*($D$10:$D$25&lt;=C348))+1,$E$10:$E$25,0)))</f>
        <v>Terminé</v>
      </c>
      <c r="E348" s="24" t="str">
        <f aca="false">IF(C348&gt;=TotalStations,"",INDEX($C$10:$C$25,MATCH(SUMPRODUCT(($A$10:$A$25&lt;&gt;"")*($D$10:$D$25&lt;=C348))+1,$E$10:$E$25,0)))</f>
        <v/>
      </c>
      <c r="F348" s="24" t="n">
        <f aca="false">IF(C348&gt;=TotalStations,0,IF(B348="Dédié",MIN(FLOOR(420/E348,1),(TotalStations-C348)),MIN(1,(TotalStations-C348))))</f>
        <v>0</v>
      </c>
      <c r="G348" s="24" t="n">
        <f aca="false">C348+F348</f>
        <v>199</v>
      </c>
      <c r="H348" s="24" t="n">
        <f aca="false">L347</f>
        <v>199</v>
      </c>
      <c r="I348" s="24" t="str">
        <f aca="false">IF(H348&gt;=TotalStations,"Terminé",INDEX($A$10:$A$25,MATCH(SUMPRODUCT(($A$10:$A$25&lt;&gt;"")*($D$10:$D$25&lt;=H348))+1,$E$10:$E$25,0)))</f>
        <v>Terminé</v>
      </c>
      <c r="J348" s="24" t="str">
        <f aca="false">IF(H348&gt;=TotalStations,"",INDEX($C$10:$C$25,MATCH(SUMPRODUCT(($A$10:$A$25&lt;&gt;"")*($D$10:$D$25&lt;=H348))+1,$E$10:$E$25,0)))</f>
        <v/>
      </c>
      <c r="K348" s="24" t="n">
        <f aca="false">IF(H348&gt;=TotalStations,0,IF(B348="Dédié",MIN(FLOOR(420/J348,1),(TotalStations-H348)),MIN(2,(TotalStations-H348))))</f>
        <v>0</v>
      </c>
      <c r="L348" s="24" t="n">
        <f aca="false">H348+K348</f>
        <v>199</v>
      </c>
      <c r="M348" s="24" t="n">
        <f aca="false">Q347</f>
        <v>199</v>
      </c>
      <c r="N348" s="24" t="str">
        <f aca="false">IF(M348&gt;=TotalStations,"Terminé",INDEX($A$10:$A$25,MATCH(SUMPRODUCT(($A$10:$A$25&lt;&gt;"")*($D$10:$D$25&lt;=M348))+1,$E$10:$E$25,0)))</f>
        <v>Terminé</v>
      </c>
      <c r="O348" s="24" t="str">
        <f aca="false">IF(M348&gt;=TotalStations,"",INDEX($C$10:$C$25,MATCH(SUMPRODUCT(($A$10:$A$25&lt;&gt;"")*($D$10:$D$25&lt;=M348))+1,$E$10:$E$25,0)))</f>
        <v/>
      </c>
      <c r="P348" s="24" t="n">
        <f aca="false">IF(M348&gt;=TotalStations,0,MIN(FLOOR(420/O348,1),(TotalStations-M348)))</f>
        <v>0</v>
      </c>
      <c r="Q348" s="24" t="n">
        <f aca="false">M348+P348</f>
        <v>199</v>
      </c>
    </row>
    <row r="349" customFormat="false" ht="15" hidden="false" customHeight="true" outlineLevel="0" collapsed="false">
      <c r="A349" s="37" t="n">
        <f aca="false">WORKDAY(A348,1)</f>
        <v>46660</v>
      </c>
      <c r="B349" s="24" t="str">
        <f aca="false">IF(COUNTIF($B$5:$F$5,A349)&gt;0,"Dédié","Normal")</f>
        <v>Normal</v>
      </c>
      <c r="C349" s="24" t="n">
        <f aca="false">G348</f>
        <v>199</v>
      </c>
      <c r="D349" s="24" t="str">
        <f aca="false">IF(C349&gt;=TotalStations,"Terminé",INDEX($A$10:$A$25,MATCH(SUMPRODUCT(($A$10:$A$25&lt;&gt;"")*($D$10:$D$25&lt;=C349))+1,$E$10:$E$25,0)))</f>
        <v>Terminé</v>
      </c>
      <c r="E349" s="24" t="str">
        <f aca="false">IF(C349&gt;=TotalStations,"",INDEX($C$10:$C$25,MATCH(SUMPRODUCT(($A$10:$A$25&lt;&gt;"")*($D$10:$D$25&lt;=C349))+1,$E$10:$E$25,0)))</f>
        <v/>
      </c>
      <c r="F349" s="24" t="n">
        <f aca="false">IF(C349&gt;=TotalStations,0,IF(B349="Dédié",MIN(FLOOR(420/E349,1),(TotalStations-C349)),MIN(1,(TotalStations-C349))))</f>
        <v>0</v>
      </c>
      <c r="G349" s="24" t="n">
        <f aca="false">C349+F349</f>
        <v>199</v>
      </c>
      <c r="H349" s="24" t="n">
        <f aca="false">L348</f>
        <v>199</v>
      </c>
      <c r="I349" s="24" t="str">
        <f aca="false">IF(H349&gt;=TotalStations,"Terminé",INDEX($A$10:$A$25,MATCH(SUMPRODUCT(($A$10:$A$25&lt;&gt;"")*($D$10:$D$25&lt;=H349))+1,$E$10:$E$25,0)))</f>
        <v>Terminé</v>
      </c>
      <c r="J349" s="24" t="str">
        <f aca="false">IF(H349&gt;=TotalStations,"",INDEX($C$10:$C$25,MATCH(SUMPRODUCT(($A$10:$A$25&lt;&gt;"")*($D$10:$D$25&lt;=H349))+1,$E$10:$E$25,0)))</f>
        <v/>
      </c>
      <c r="K349" s="24" t="n">
        <f aca="false">IF(H349&gt;=TotalStations,0,IF(B349="Dédié",MIN(FLOOR(420/J349,1),(TotalStations-H349)),MIN(2,(TotalStations-H349))))</f>
        <v>0</v>
      </c>
      <c r="L349" s="24" t="n">
        <f aca="false">H349+K349</f>
        <v>199</v>
      </c>
      <c r="M349" s="24" t="n">
        <f aca="false">Q348</f>
        <v>199</v>
      </c>
      <c r="N349" s="24" t="str">
        <f aca="false">IF(M349&gt;=TotalStations,"Terminé",INDEX($A$10:$A$25,MATCH(SUMPRODUCT(($A$10:$A$25&lt;&gt;"")*($D$10:$D$25&lt;=M349))+1,$E$10:$E$25,0)))</f>
        <v>Terminé</v>
      </c>
      <c r="O349" s="24" t="str">
        <f aca="false">IF(M349&gt;=TotalStations,"",INDEX($C$10:$C$25,MATCH(SUMPRODUCT(($A$10:$A$25&lt;&gt;"")*($D$10:$D$25&lt;=M349))+1,$E$10:$E$25,0)))</f>
        <v/>
      </c>
      <c r="P349" s="24" t="n">
        <f aca="false">IF(M349&gt;=TotalStations,0,MIN(FLOOR(420/O349,1),(TotalStations-M349)))</f>
        <v>0</v>
      </c>
      <c r="Q349" s="24" t="n">
        <f aca="false">M349+P349</f>
        <v>199</v>
      </c>
    </row>
    <row r="350" customFormat="false" ht="15" hidden="false" customHeight="true" outlineLevel="0" collapsed="false">
      <c r="A350" s="37" t="n">
        <f aca="false">WORKDAY(A349,1)</f>
        <v>46661</v>
      </c>
      <c r="B350" s="24" t="str">
        <f aca="false">IF(COUNTIF($B$5:$F$5,A350)&gt;0,"Dédié","Normal")</f>
        <v>Normal</v>
      </c>
      <c r="C350" s="24" t="n">
        <f aca="false">G349</f>
        <v>199</v>
      </c>
      <c r="D350" s="24" t="str">
        <f aca="false">IF(C350&gt;=TotalStations,"Terminé",INDEX($A$10:$A$25,MATCH(SUMPRODUCT(($A$10:$A$25&lt;&gt;"")*($D$10:$D$25&lt;=C350))+1,$E$10:$E$25,0)))</f>
        <v>Terminé</v>
      </c>
      <c r="E350" s="24" t="str">
        <f aca="false">IF(C350&gt;=TotalStations,"",INDEX($C$10:$C$25,MATCH(SUMPRODUCT(($A$10:$A$25&lt;&gt;"")*($D$10:$D$25&lt;=C350))+1,$E$10:$E$25,0)))</f>
        <v/>
      </c>
      <c r="F350" s="24" t="n">
        <f aca="false">IF(C350&gt;=TotalStations,0,IF(B350="Dédié",MIN(FLOOR(420/E350,1),(TotalStations-C350)),MIN(1,(TotalStations-C350))))</f>
        <v>0</v>
      </c>
      <c r="G350" s="24" t="n">
        <f aca="false">C350+F350</f>
        <v>199</v>
      </c>
      <c r="H350" s="24" t="n">
        <f aca="false">L349</f>
        <v>199</v>
      </c>
      <c r="I350" s="24" t="str">
        <f aca="false">IF(H350&gt;=TotalStations,"Terminé",INDEX($A$10:$A$25,MATCH(SUMPRODUCT(($A$10:$A$25&lt;&gt;"")*($D$10:$D$25&lt;=H350))+1,$E$10:$E$25,0)))</f>
        <v>Terminé</v>
      </c>
      <c r="J350" s="24" t="str">
        <f aca="false">IF(H350&gt;=TotalStations,"",INDEX($C$10:$C$25,MATCH(SUMPRODUCT(($A$10:$A$25&lt;&gt;"")*($D$10:$D$25&lt;=H350))+1,$E$10:$E$25,0)))</f>
        <v/>
      </c>
      <c r="K350" s="24" t="n">
        <f aca="false">IF(H350&gt;=TotalStations,0,IF(B350="Dédié",MIN(FLOOR(420/J350,1),(TotalStations-H350)),MIN(2,(TotalStations-H350))))</f>
        <v>0</v>
      </c>
      <c r="L350" s="24" t="n">
        <f aca="false">H350+K350</f>
        <v>199</v>
      </c>
      <c r="M350" s="24" t="n">
        <f aca="false">Q349</f>
        <v>199</v>
      </c>
      <c r="N350" s="24" t="str">
        <f aca="false">IF(M350&gt;=TotalStations,"Terminé",INDEX($A$10:$A$25,MATCH(SUMPRODUCT(($A$10:$A$25&lt;&gt;"")*($D$10:$D$25&lt;=M350))+1,$E$10:$E$25,0)))</f>
        <v>Terminé</v>
      </c>
      <c r="O350" s="24" t="str">
        <f aca="false">IF(M350&gt;=TotalStations,"",INDEX($C$10:$C$25,MATCH(SUMPRODUCT(($A$10:$A$25&lt;&gt;"")*($D$10:$D$25&lt;=M350))+1,$E$10:$E$25,0)))</f>
        <v/>
      </c>
      <c r="P350" s="24" t="n">
        <f aca="false">IF(M350&gt;=TotalStations,0,MIN(FLOOR(420/O350,1),(TotalStations-M350)))</f>
        <v>0</v>
      </c>
      <c r="Q350" s="24" t="n">
        <f aca="false">M350+P350</f>
        <v>199</v>
      </c>
    </row>
    <row r="351" customFormat="false" ht="15" hidden="false" customHeight="true" outlineLevel="0" collapsed="false">
      <c r="A351" s="37" t="n">
        <f aca="false">WORKDAY(A350,1)</f>
        <v>46664</v>
      </c>
      <c r="B351" s="24" t="str">
        <f aca="false">IF(COUNTIF($B$5:$F$5,A351)&gt;0,"Dédié","Normal")</f>
        <v>Normal</v>
      </c>
      <c r="C351" s="24" t="n">
        <f aca="false">G350</f>
        <v>199</v>
      </c>
      <c r="D351" s="24" t="str">
        <f aca="false">IF(C351&gt;=TotalStations,"Terminé",INDEX($A$10:$A$25,MATCH(SUMPRODUCT(($A$10:$A$25&lt;&gt;"")*($D$10:$D$25&lt;=C351))+1,$E$10:$E$25,0)))</f>
        <v>Terminé</v>
      </c>
      <c r="E351" s="24" t="str">
        <f aca="false">IF(C351&gt;=TotalStations,"",INDEX($C$10:$C$25,MATCH(SUMPRODUCT(($A$10:$A$25&lt;&gt;"")*($D$10:$D$25&lt;=C351))+1,$E$10:$E$25,0)))</f>
        <v/>
      </c>
      <c r="F351" s="24" t="n">
        <f aca="false">IF(C351&gt;=TotalStations,0,IF(B351="Dédié",MIN(FLOOR(420/E351,1),(TotalStations-C351)),MIN(1,(TotalStations-C351))))</f>
        <v>0</v>
      </c>
      <c r="G351" s="24" t="n">
        <f aca="false">C351+F351</f>
        <v>199</v>
      </c>
      <c r="H351" s="24" t="n">
        <f aca="false">L350</f>
        <v>199</v>
      </c>
      <c r="I351" s="24" t="str">
        <f aca="false">IF(H351&gt;=TotalStations,"Terminé",INDEX($A$10:$A$25,MATCH(SUMPRODUCT(($A$10:$A$25&lt;&gt;"")*($D$10:$D$25&lt;=H351))+1,$E$10:$E$25,0)))</f>
        <v>Terminé</v>
      </c>
      <c r="J351" s="24" t="str">
        <f aca="false">IF(H351&gt;=TotalStations,"",INDEX($C$10:$C$25,MATCH(SUMPRODUCT(($A$10:$A$25&lt;&gt;"")*($D$10:$D$25&lt;=H351))+1,$E$10:$E$25,0)))</f>
        <v/>
      </c>
      <c r="K351" s="24" t="n">
        <f aca="false">IF(H351&gt;=TotalStations,0,IF(B351="Dédié",MIN(FLOOR(420/J351,1),(TotalStations-H351)),MIN(2,(TotalStations-H351))))</f>
        <v>0</v>
      </c>
      <c r="L351" s="24" t="n">
        <f aca="false">H351+K351</f>
        <v>199</v>
      </c>
      <c r="M351" s="24" t="n">
        <f aca="false">Q350</f>
        <v>199</v>
      </c>
      <c r="N351" s="24" t="str">
        <f aca="false">IF(M351&gt;=TotalStations,"Terminé",INDEX($A$10:$A$25,MATCH(SUMPRODUCT(($A$10:$A$25&lt;&gt;"")*($D$10:$D$25&lt;=M351))+1,$E$10:$E$25,0)))</f>
        <v>Terminé</v>
      </c>
      <c r="O351" s="24" t="str">
        <f aca="false">IF(M351&gt;=TotalStations,"",INDEX($C$10:$C$25,MATCH(SUMPRODUCT(($A$10:$A$25&lt;&gt;"")*($D$10:$D$25&lt;=M351))+1,$E$10:$E$25,0)))</f>
        <v/>
      </c>
      <c r="P351" s="24" t="n">
        <f aca="false">IF(M351&gt;=TotalStations,0,MIN(FLOOR(420/O351,1),(TotalStations-M351)))</f>
        <v>0</v>
      </c>
      <c r="Q351" s="24" t="n">
        <f aca="false">M351+P351</f>
        <v>199</v>
      </c>
    </row>
    <row r="352" customFormat="false" ht="15" hidden="false" customHeight="true" outlineLevel="0" collapsed="false">
      <c r="A352" s="37" t="n">
        <f aca="false">WORKDAY(A351,1)</f>
        <v>46665</v>
      </c>
      <c r="B352" s="24" t="str">
        <f aca="false">IF(COUNTIF($B$5:$F$5,A352)&gt;0,"Dédié","Normal")</f>
        <v>Normal</v>
      </c>
      <c r="C352" s="24" t="n">
        <f aca="false">G351</f>
        <v>199</v>
      </c>
      <c r="D352" s="24" t="str">
        <f aca="false">IF(C352&gt;=TotalStations,"Terminé",INDEX($A$10:$A$25,MATCH(SUMPRODUCT(($A$10:$A$25&lt;&gt;"")*($D$10:$D$25&lt;=C352))+1,$E$10:$E$25,0)))</f>
        <v>Terminé</v>
      </c>
      <c r="E352" s="24" t="str">
        <f aca="false">IF(C352&gt;=TotalStations,"",INDEX($C$10:$C$25,MATCH(SUMPRODUCT(($A$10:$A$25&lt;&gt;"")*($D$10:$D$25&lt;=C352))+1,$E$10:$E$25,0)))</f>
        <v/>
      </c>
      <c r="F352" s="24" t="n">
        <f aca="false">IF(C352&gt;=TotalStations,0,IF(B352="Dédié",MIN(FLOOR(420/E352,1),(TotalStations-C352)),MIN(1,(TotalStations-C352))))</f>
        <v>0</v>
      </c>
      <c r="G352" s="24" t="n">
        <f aca="false">C352+F352</f>
        <v>199</v>
      </c>
      <c r="H352" s="24" t="n">
        <f aca="false">L351</f>
        <v>199</v>
      </c>
      <c r="I352" s="24" t="str">
        <f aca="false">IF(H352&gt;=TotalStations,"Terminé",INDEX($A$10:$A$25,MATCH(SUMPRODUCT(($A$10:$A$25&lt;&gt;"")*($D$10:$D$25&lt;=H352))+1,$E$10:$E$25,0)))</f>
        <v>Terminé</v>
      </c>
      <c r="J352" s="24" t="str">
        <f aca="false">IF(H352&gt;=TotalStations,"",INDEX($C$10:$C$25,MATCH(SUMPRODUCT(($A$10:$A$25&lt;&gt;"")*($D$10:$D$25&lt;=H352))+1,$E$10:$E$25,0)))</f>
        <v/>
      </c>
      <c r="K352" s="24" t="n">
        <f aca="false">IF(H352&gt;=TotalStations,0,IF(B352="Dédié",MIN(FLOOR(420/J352,1),(TotalStations-H352)),MIN(2,(TotalStations-H352))))</f>
        <v>0</v>
      </c>
      <c r="L352" s="24" t="n">
        <f aca="false">H352+K352</f>
        <v>199</v>
      </c>
      <c r="M352" s="24" t="n">
        <f aca="false">Q351</f>
        <v>199</v>
      </c>
      <c r="N352" s="24" t="str">
        <f aca="false">IF(M352&gt;=TotalStations,"Terminé",INDEX($A$10:$A$25,MATCH(SUMPRODUCT(($A$10:$A$25&lt;&gt;"")*($D$10:$D$25&lt;=M352))+1,$E$10:$E$25,0)))</f>
        <v>Terminé</v>
      </c>
      <c r="O352" s="24" t="str">
        <f aca="false">IF(M352&gt;=TotalStations,"",INDEX($C$10:$C$25,MATCH(SUMPRODUCT(($A$10:$A$25&lt;&gt;"")*($D$10:$D$25&lt;=M352))+1,$E$10:$E$25,0)))</f>
        <v/>
      </c>
      <c r="P352" s="24" t="n">
        <f aca="false">IF(M352&gt;=TotalStations,0,MIN(FLOOR(420/O352,1),(TotalStations-M352)))</f>
        <v>0</v>
      </c>
      <c r="Q352" s="24" t="n">
        <f aca="false">M352+P352</f>
        <v>199</v>
      </c>
    </row>
    <row r="353" customFormat="false" ht="15" hidden="false" customHeight="true" outlineLevel="0" collapsed="false">
      <c r="A353" s="37" t="n">
        <f aca="false">WORKDAY(A352,1)</f>
        <v>46666</v>
      </c>
      <c r="B353" s="24" t="str">
        <f aca="false">IF(COUNTIF($B$5:$F$5,A353)&gt;0,"Dédié","Normal")</f>
        <v>Normal</v>
      </c>
      <c r="C353" s="24" t="n">
        <f aca="false">G352</f>
        <v>199</v>
      </c>
      <c r="D353" s="24" t="str">
        <f aca="false">IF(C353&gt;=TotalStations,"Terminé",INDEX($A$10:$A$25,MATCH(SUMPRODUCT(($A$10:$A$25&lt;&gt;"")*($D$10:$D$25&lt;=C353))+1,$E$10:$E$25,0)))</f>
        <v>Terminé</v>
      </c>
      <c r="E353" s="24" t="str">
        <f aca="false">IF(C353&gt;=TotalStations,"",INDEX($C$10:$C$25,MATCH(SUMPRODUCT(($A$10:$A$25&lt;&gt;"")*($D$10:$D$25&lt;=C353))+1,$E$10:$E$25,0)))</f>
        <v/>
      </c>
      <c r="F353" s="24" t="n">
        <f aca="false">IF(C353&gt;=TotalStations,0,IF(B353="Dédié",MIN(FLOOR(420/E353,1),(TotalStations-C353)),MIN(1,(TotalStations-C353))))</f>
        <v>0</v>
      </c>
      <c r="G353" s="24" t="n">
        <f aca="false">C353+F353</f>
        <v>199</v>
      </c>
      <c r="H353" s="24" t="n">
        <f aca="false">L352</f>
        <v>199</v>
      </c>
      <c r="I353" s="24" t="str">
        <f aca="false">IF(H353&gt;=TotalStations,"Terminé",INDEX($A$10:$A$25,MATCH(SUMPRODUCT(($A$10:$A$25&lt;&gt;"")*($D$10:$D$25&lt;=H353))+1,$E$10:$E$25,0)))</f>
        <v>Terminé</v>
      </c>
      <c r="J353" s="24" t="str">
        <f aca="false">IF(H353&gt;=TotalStations,"",INDEX($C$10:$C$25,MATCH(SUMPRODUCT(($A$10:$A$25&lt;&gt;"")*($D$10:$D$25&lt;=H353))+1,$E$10:$E$25,0)))</f>
        <v/>
      </c>
      <c r="K353" s="24" t="n">
        <f aca="false">IF(H353&gt;=TotalStations,0,IF(B353="Dédié",MIN(FLOOR(420/J353,1),(TotalStations-H353)),MIN(2,(TotalStations-H353))))</f>
        <v>0</v>
      </c>
      <c r="L353" s="24" t="n">
        <f aca="false">H353+K353</f>
        <v>199</v>
      </c>
      <c r="M353" s="24" t="n">
        <f aca="false">Q352</f>
        <v>199</v>
      </c>
      <c r="N353" s="24" t="str">
        <f aca="false">IF(M353&gt;=TotalStations,"Terminé",INDEX($A$10:$A$25,MATCH(SUMPRODUCT(($A$10:$A$25&lt;&gt;"")*($D$10:$D$25&lt;=M353))+1,$E$10:$E$25,0)))</f>
        <v>Terminé</v>
      </c>
      <c r="O353" s="24" t="str">
        <f aca="false">IF(M353&gt;=TotalStations,"",INDEX($C$10:$C$25,MATCH(SUMPRODUCT(($A$10:$A$25&lt;&gt;"")*($D$10:$D$25&lt;=M353))+1,$E$10:$E$25,0)))</f>
        <v/>
      </c>
      <c r="P353" s="24" t="n">
        <f aca="false">IF(M353&gt;=TotalStations,0,MIN(FLOOR(420/O353,1),(TotalStations-M353)))</f>
        <v>0</v>
      </c>
      <c r="Q353" s="24" t="n">
        <f aca="false">M353+P353</f>
        <v>199</v>
      </c>
    </row>
    <row r="354" customFormat="false" ht="15" hidden="false" customHeight="true" outlineLevel="0" collapsed="false">
      <c r="A354" s="37" t="n">
        <f aca="false">WORKDAY(A353,1)</f>
        <v>46667</v>
      </c>
      <c r="B354" s="24" t="str">
        <f aca="false">IF(COUNTIF($B$5:$F$5,A354)&gt;0,"Dédié","Normal")</f>
        <v>Normal</v>
      </c>
      <c r="C354" s="24" t="n">
        <f aca="false">G353</f>
        <v>199</v>
      </c>
      <c r="D354" s="24" t="str">
        <f aca="false">IF(C354&gt;=TotalStations,"Terminé",INDEX($A$10:$A$25,MATCH(SUMPRODUCT(($A$10:$A$25&lt;&gt;"")*($D$10:$D$25&lt;=C354))+1,$E$10:$E$25,0)))</f>
        <v>Terminé</v>
      </c>
      <c r="E354" s="24" t="str">
        <f aca="false">IF(C354&gt;=TotalStations,"",INDEX($C$10:$C$25,MATCH(SUMPRODUCT(($A$10:$A$25&lt;&gt;"")*($D$10:$D$25&lt;=C354))+1,$E$10:$E$25,0)))</f>
        <v/>
      </c>
      <c r="F354" s="24" t="n">
        <f aca="false">IF(C354&gt;=TotalStations,0,IF(B354="Dédié",MIN(FLOOR(420/E354,1),(TotalStations-C354)),MIN(1,(TotalStations-C354))))</f>
        <v>0</v>
      </c>
      <c r="G354" s="24" t="n">
        <f aca="false">C354+F354</f>
        <v>199</v>
      </c>
      <c r="H354" s="24" t="n">
        <f aca="false">L353</f>
        <v>199</v>
      </c>
      <c r="I354" s="24" t="str">
        <f aca="false">IF(H354&gt;=TotalStations,"Terminé",INDEX($A$10:$A$25,MATCH(SUMPRODUCT(($A$10:$A$25&lt;&gt;"")*($D$10:$D$25&lt;=H354))+1,$E$10:$E$25,0)))</f>
        <v>Terminé</v>
      </c>
      <c r="J354" s="24" t="str">
        <f aca="false">IF(H354&gt;=TotalStations,"",INDEX($C$10:$C$25,MATCH(SUMPRODUCT(($A$10:$A$25&lt;&gt;"")*($D$10:$D$25&lt;=H354))+1,$E$10:$E$25,0)))</f>
        <v/>
      </c>
      <c r="K354" s="24" t="n">
        <f aca="false">IF(H354&gt;=TotalStations,0,IF(B354="Dédié",MIN(FLOOR(420/J354,1),(TotalStations-H354)),MIN(2,(TotalStations-H354))))</f>
        <v>0</v>
      </c>
      <c r="L354" s="24" t="n">
        <f aca="false">H354+K354</f>
        <v>199</v>
      </c>
      <c r="M354" s="24" t="n">
        <f aca="false">Q353</f>
        <v>199</v>
      </c>
      <c r="N354" s="24" t="str">
        <f aca="false">IF(M354&gt;=TotalStations,"Terminé",INDEX($A$10:$A$25,MATCH(SUMPRODUCT(($A$10:$A$25&lt;&gt;"")*($D$10:$D$25&lt;=M354))+1,$E$10:$E$25,0)))</f>
        <v>Terminé</v>
      </c>
      <c r="O354" s="24" t="str">
        <f aca="false">IF(M354&gt;=TotalStations,"",INDEX($C$10:$C$25,MATCH(SUMPRODUCT(($A$10:$A$25&lt;&gt;"")*($D$10:$D$25&lt;=M354))+1,$E$10:$E$25,0)))</f>
        <v/>
      </c>
      <c r="P354" s="24" t="n">
        <f aca="false">IF(M354&gt;=TotalStations,0,MIN(FLOOR(420/O354,1),(TotalStations-M354)))</f>
        <v>0</v>
      </c>
      <c r="Q354" s="24" t="n">
        <f aca="false">M354+P354</f>
        <v>199</v>
      </c>
    </row>
    <row r="355" customFormat="false" ht="15" hidden="false" customHeight="true" outlineLevel="0" collapsed="false">
      <c r="A355" s="37" t="n">
        <f aca="false">WORKDAY(A354,1)</f>
        <v>46668</v>
      </c>
      <c r="B355" s="24" t="str">
        <f aca="false">IF(COUNTIF($B$5:$F$5,A355)&gt;0,"Dédié","Normal")</f>
        <v>Normal</v>
      </c>
      <c r="C355" s="24" t="n">
        <f aca="false">G354</f>
        <v>199</v>
      </c>
      <c r="D355" s="24" t="str">
        <f aca="false">IF(C355&gt;=TotalStations,"Terminé",INDEX($A$10:$A$25,MATCH(SUMPRODUCT(($A$10:$A$25&lt;&gt;"")*($D$10:$D$25&lt;=C355))+1,$E$10:$E$25,0)))</f>
        <v>Terminé</v>
      </c>
      <c r="E355" s="24" t="str">
        <f aca="false">IF(C355&gt;=TotalStations,"",INDEX($C$10:$C$25,MATCH(SUMPRODUCT(($A$10:$A$25&lt;&gt;"")*($D$10:$D$25&lt;=C355))+1,$E$10:$E$25,0)))</f>
        <v/>
      </c>
      <c r="F355" s="24" t="n">
        <f aca="false">IF(C355&gt;=TotalStations,0,IF(B355="Dédié",MIN(FLOOR(420/E355,1),(TotalStations-C355)),MIN(1,(TotalStations-C355))))</f>
        <v>0</v>
      </c>
      <c r="G355" s="24" t="n">
        <f aca="false">C355+F355</f>
        <v>199</v>
      </c>
      <c r="H355" s="24" t="n">
        <f aca="false">L354</f>
        <v>199</v>
      </c>
      <c r="I355" s="24" t="str">
        <f aca="false">IF(H355&gt;=TotalStations,"Terminé",INDEX($A$10:$A$25,MATCH(SUMPRODUCT(($A$10:$A$25&lt;&gt;"")*($D$10:$D$25&lt;=H355))+1,$E$10:$E$25,0)))</f>
        <v>Terminé</v>
      </c>
      <c r="J355" s="24" t="str">
        <f aca="false">IF(H355&gt;=TotalStations,"",INDEX($C$10:$C$25,MATCH(SUMPRODUCT(($A$10:$A$25&lt;&gt;"")*($D$10:$D$25&lt;=H355))+1,$E$10:$E$25,0)))</f>
        <v/>
      </c>
      <c r="K355" s="24" t="n">
        <f aca="false">IF(H355&gt;=TotalStations,0,IF(B355="Dédié",MIN(FLOOR(420/J355,1),(TotalStations-H355)),MIN(2,(TotalStations-H355))))</f>
        <v>0</v>
      </c>
      <c r="L355" s="24" t="n">
        <f aca="false">H355+K355</f>
        <v>199</v>
      </c>
      <c r="M355" s="24" t="n">
        <f aca="false">Q354</f>
        <v>199</v>
      </c>
      <c r="N355" s="24" t="str">
        <f aca="false">IF(M355&gt;=TotalStations,"Terminé",INDEX($A$10:$A$25,MATCH(SUMPRODUCT(($A$10:$A$25&lt;&gt;"")*($D$10:$D$25&lt;=M355))+1,$E$10:$E$25,0)))</f>
        <v>Terminé</v>
      </c>
      <c r="O355" s="24" t="str">
        <f aca="false">IF(M355&gt;=TotalStations,"",INDEX($C$10:$C$25,MATCH(SUMPRODUCT(($A$10:$A$25&lt;&gt;"")*($D$10:$D$25&lt;=M355))+1,$E$10:$E$25,0)))</f>
        <v/>
      </c>
      <c r="P355" s="24" t="n">
        <f aca="false">IF(M355&gt;=TotalStations,0,MIN(FLOOR(420/O355,1),(TotalStations-M355)))</f>
        <v>0</v>
      </c>
      <c r="Q355" s="24" t="n">
        <f aca="false">M355+P355</f>
        <v>199</v>
      </c>
    </row>
    <row r="356" customFormat="false" ht="15" hidden="false" customHeight="true" outlineLevel="0" collapsed="false">
      <c r="A356" s="37" t="n">
        <f aca="false">WORKDAY(A355,1)</f>
        <v>46671</v>
      </c>
      <c r="B356" s="24" t="str">
        <f aca="false">IF(COUNTIF($B$5:$F$5,A356)&gt;0,"Dédié","Normal")</f>
        <v>Normal</v>
      </c>
      <c r="C356" s="24" t="n">
        <f aca="false">G355</f>
        <v>199</v>
      </c>
      <c r="D356" s="24" t="str">
        <f aca="false">IF(C356&gt;=TotalStations,"Terminé",INDEX($A$10:$A$25,MATCH(SUMPRODUCT(($A$10:$A$25&lt;&gt;"")*($D$10:$D$25&lt;=C356))+1,$E$10:$E$25,0)))</f>
        <v>Terminé</v>
      </c>
      <c r="E356" s="24" t="str">
        <f aca="false">IF(C356&gt;=TotalStations,"",INDEX($C$10:$C$25,MATCH(SUMPRODUCT(($A$10:$A$25&lt;&gt;"")*($D$10:$D$25&lt;=C356))+1,$E$10:$E$25,0)))</f>
        <v/>
      </c>
      <c r="F356" s="24" t="n">
        <f aca="false">IF(C356&gt;=TotalStations,0,IF(B356="Dédié",MIN(FLOOR(420/E356,1),(TotalStations-C356)),MIN(1,(TotalStations-C356))))</f>
        <v>0</v>
      </c>
      <c r="G356" s="24" t="n">
        <f aca="false">C356+F356</f>
        <v>199</v>
      </c>
      <c r="H356" s="24" t="n">
        <f aca="false">L355</f>
        <v>199</v>
      </c>
      <c r="I356" s="24" t="str">
        <f aca="false">IF(H356&gt;=TotalStations,"Terminé",INDEX($A$10:$A$25,MATCH(SUMPRODUCT(($A$10:$A$25&lt;&gt;"")*($D$10:$D$25&lt;=H356))+1,$E$10:$E$25,0)))</f>
        <v>Terminé</v>
      </c>
      <c r="J356" s="24" t="str">
        <f aca="false">IF(H356&gt;=TotalStations,"",INDEX($C$10:$C$25,MATCH(SUMPRODUCT(($A$10:$A$25&lt;&gt;"")*($D$10:$D$25&lt;=H356))+1,$E$10:$E$25,0)))</f>
        <v/>
      </c>
      <c r="K356" s="24" t="n">
        <f aca="false">IF(H356&gt;=TotalStations,0,IF(B356="Dédié",MIN(FLOOR(420/J356,1),(TotalStations-H356)),MIN(2,(TotalStations-H356))))</f>
        <v>0</v>
      </c>
      <c r="L356" s="24" t="n">
        <f aca="false">H356+K356</f>
        <v>199</v>
      </c>
      <c r="M356" s="24" t="n">
        <f aca="false">Q355</f>
        <v>199</v>
      </c>
      <c r="N356" s="24" t="str">
        <f aca="false">IF(M356&gt;=TotalStations,"Terminé",INDEX($A$10:$A$25,MATCH(SUMPRODUCT(($A$10:$A$25&lt;&gt;"")*($D$10:$D$25&lt;=M356))+1,$E$10:$E$25,0)))</f>
        <v>Terminé</v>
      </c>
      <c r="O356" s="24" t="str">
        <f aca="false">IF(M356&gt;=TotalStations,"",INDEX($C$10:$C$25,MATCH(SUMPRODUCT(($A$10:$A$25&lt;&gt;"")*($D$10:$D$25&lt;=M356))+1,$E$10:$E$25,0)))</f>
        <v/>
      </c>
      <c r="P356" s="24" t="n">
        <f aca="false">IF(M356&gt;=TotalStations,0,MIN(FLOOR(420/O356,1),(TotalStations-M356)))</f>
        <v>0</v>
      </c>
      <c r="Q356" s="24" t="n">
        <f aca="false">M356+P356</f>
        <v>199</v>
      </c>
    </row>
    <row r="357" customFormat="false" ht="15" hidden="false" customHeight="true" outlineLevel="0" collapsed="false">
      <c r="A357" s="37" t="n">
        <f aca="false">WORKDAY(A356,1)</f>
        <v>46672</v>
      </c>
      <c r="B357" s="24" t="str">
        <f aca="false">IF(COUNTIF($B$5:$F$5,A357)&gt;0,"Dédié","Normal")</f>
        <v>Normal</v>
      </c>
      <c r="C357" s="24" t="n">
        <f aca="false">G356</f>
        <v>199</v>
      </c>
      <c r="D357" s="24" t="str">
        <f aca="false">IF(C357&gt;=TotalStations,"Terminé",INDEX($A$10:$A$25,MATCH(SUMPRODUCT(($A$10:$A$25&lt;&gt;"")*($D$10:$D$25&lt;=C357))+1,$E$10:$E$25,0)))</f>
        <v>Terminé</v>
      </c>
      <c r="E357" s="24" t="str">
        <f aca="false">IF(C357&gt;=TotalStations,"",INDEX($C$10:$C$25,MATCH(SUMPRODUCT(($A$10:$A$25&lt;&gt;"")*($D$10:$D$25&lt;=C357))+1,$E$10:$E$25,0)))</f>
        <v/>
      </c>
      <c r="F357" s="24" t="n">
        <f aca="false">IF(C357&gt;=TotalStations,0,IF(B357="Dédié",MIN(FLOOR(420/E357,1),(TotalStations-C357)),MIN(1,(TotalStations-C357))))</f>
        <v>0</v>
      </c>
      <c r="G357" s="24" t="n">
        <f aca="false">C357+F357</f>
        <v>199</v>
      </c>
      <c r="H357" s="24" t="n">
        <f aca="false">L356</f>
        <v>199</v>
      </c>
      <c r="I357" s="24" t="str">
        <f aca="false">IF(H357&gt;=TotalStations,"Terminé",INDEX($A$10:$A$25,MATCH(SUMPRODUCT(($A$10:$A$25&lt;&gt;"")*($D$10:$D$25&lt;=H357))+1,$E$10:$E$25,0)))</f>
        <v>Terminé</v>
      </c>
      <c r="J357" s="24" t="str">
        <f aca="false">IF(H357&gt;=TotalStations,"",INDEX($C$10:$C$25,MATCH(SUMPRODUCT(($A$10:$A$25&lt;&gt;"")*($D$10:$D$25&lt;=H357))+1,$E$10:$E$25,0)))</f>
        <v/>
      </c>
      <c r="K357" s="24" t="n">
        <f aca="false">IF(H357&gt;=TotalStations,0,IF(B357="Dédié",MIN(FLOOR(420/J357,1),(TotalStations-H357)),MIN(2,(TotalStations-H357))))</f>
        <v>0</v>
      </c>
      <c r="L357" s="24" t="n">
        <f aca="false">H357+K357</f>
        <v>199</v>
      </c>
      <c r="M357" s="24" t="n">
        <f aca="false">Q356</f>
        <v>199</v>
      </c>
      <c r="N357" s="24" t="str">
        <f aca="false">IF(M357&gt;=TotalStations,"Terminé",INDEX($A$10:$A$25,MATCH(SUMPRODUCT(($A$10:$A$25&lt;&gt;"")*($D$10:$D$25&lt;=M357))+1,$E$10:$E$25,0)))</f>
        <v>Terminé</v>
      </c>
      <c r="O357" s="24" t="str">
        <f aca="false">IF(M357&gt;=TotalStations,"",INDEX($C$10:$C$25,MATCH(SUMPRODUCT(($A$10:$A$25&lt;&gt;"")*($D$10:$D$25&lt;=M357))+1,$E$10:$E$25,0)))</f>
        <v/>
      </c>
      <c r="P357" s="24" t="n">
        <f aca="false">IF(M357&gt;=TotalStations,0,MIN(FLOOR(420/O357,1),(TotalStations-M357)))</f>
        <v>0</v>
      </c>
      <c r="Q357" s="24" t="n">
        <f aca="false">M357+P357</f>
        <v>199</v>
      </c>
    </row>
    <row r="358" customFormat="false" ht="15" hidden="false" customHeight="true" outlineLevel="0" collapsed="false">
      <c r="A358" s="37" t="n">
        <f aca="false">WORKDAY(A357,1)</f>
        <v>46673</v>
      </c>
      <c r="B358" s="24" t="str">
        <f aca="false">IF(COUNTIF($B$5:$F$5,A358)&gt;0,"Dédié","Normal")</f>
        <v>Normal</v>
      </c>
      <c r="C358" s="24" t="n">
        <f aca="false">G357</f>
        <v>199</v>
      </c>
      <c r="D358" s="24" t="str">
        <f aca="false">IF(C358&gt;=TotalStations,"Terminé",INDEX($A$10:$A$25,MATCH(SUMPRODUCT(($A$10:$A$25&lt;&gt;"")*($D$10:$D$25&lt;=C358))+1,$E$10:$E$25,0)))</f>
        <v>Terminé</v>
      </c>
      <c r="E358" s="24" t="str">
        <f aca="false">IF(C358&gt;=TotalStations,"",INDEX($C$10:$C$25,MATCH(SUMPRODUCT(($A$10:$A$25&lt;&gt;"")*($D$10:$D$25&lt;=C358))+1,$E$10:$E$25,0)))</f>
        <v/>
      </c>
      <c r="F358" s="24" t="n">
        <f aca="false">IF(C358&gt;=TotalStations,0,IF(B358="Dédié",MIN(FLOOR(420/E358,1),(TotalStations-C358)),MIN(1,(TotalStations-C358))))</f>
        <v>0</v>
      </c>
      <c r="G358" s="24" t="n">
        <f aca="false">C358+F358</f>
        <v>199</v>
      </c>
      <c r="H358" s="24" t="n">
        <f aca="false">L357</f>
        <v>199</v>
      </c>
      <c r="I358" s="24" t="str">
        <f aca="false">IF(H358&gt;=TotalStations,"Terminé",INDEX($A$10:$A$25,MATCH(SUMPRODUCT(($A$10:$A$25&lt;&gt;"")*($D$10:$D$25&lt;=H358))+1,$E$10:$E$25,0)))</f>
        <v>Terminé</v>
      </c>
      <c r="J358" s="24" t="str">
        <f aca="false">IF(H358&gt;=TotalStations,"",INDEX($C$10:$C$25,MATCH(SUMPRODUCT(($A$10:$A$25&lt;&gt;"")*($D$10:$D$25&lt;=H358))+1,$E$10:$E$25,0)))</f>
        <v/>
      </c>
      <c r="K358" s="24" t="n">
        <f aca="false">IF(H358&gt;=TotalStations,0,IF(B358="Dédié",MIN(FLOOR(420/J358,1),(TotalStations-H358)),MIN(2,(TotalStations-H358))))</f>
        <v>0</v>
      </c>
      <c r="L358" s="24" t="n">
        <f aca="false">H358+K358</f>
        <v>199</v>
      </c>
      <c r="M358" s="24" t="n">
        <f aca="false">Q357</f>
        <v>199</v>
      </c>
      <c r="N358" s="24" t="str">
        <f aca="false">IF(M358&gt;=TotalStations,"Terminé",INDEX($A$10:$A$25,MATCH(SUMPRODUCT(($A$10:$A$25&lt;&gt;"")*($D$10:$D$25&lt;=M358))+1,$E$10:$E$25,0)))</f>
        <v>Terminé</v>
      </c>
      <c r="O358" s="24" t="str">
        <f aca="false">IF(M358&gt;=TotalStations,"",INDEX($C$10:$C$25,MATCH(SUMPRODUCT(($A$10:$A$25&lt;&gt;"")*($D$10:$D$25&lt;=M358))+1,$E$10:$E$25,0)))</f>
        <v/>
      </c>
      <c r="P358" s="24" t="n">
        <f aca="false">IF(M358&gt;=TotalStations,0,MIN(FLOOR(420/O358,1),(TotalStations-M358)))</f>
        <v>0</v>
      </c>
      <c r="Q358" s="24" t="n">
        <f aca="false">M358+P358</f>
        <v>199</v>
      </c>
    </row>
    <row r="359" customFormat="false" ht="15" hidden="false" customHeight="true" outlineLevel="0" collapsed="false">
      <c r="A359" s="37" t="n">
        <f aca="false">WORKDAY(A358,1)</f>
        <v>46674</v>
      </c>
      <c r="B359" s="24" t="str">
        <f aca="false">IF(COUNTIF($B$5:$F$5,A359)&gt;0,"Dédié","Normal")</f>
        <v>Normal</v>
      </c>
      <c r="C359" s="24" t="n">
        <f aca="false">G358</f>
        <v>199</v>
      </c>
      <c r="D359" s="24" t="str">
        <f aca="false">IF(C359&gt;=TotalStations,"Terminé",INDEX($A$10:$A$25,MATCH(SUMPRODUCT(($A$10:$A$25&lt;&gt;"")*($D$10:$D$25&lt;=C359))+1,$E$10:$E$25,0)))</f>
        <v>Terminé</v>
      </c>
      <c r="E359" s="24" t="str">
        <f aca="false">IF(C359&gt;=TotalStations,"",INDEX($C$10:$C$25,MATCH(SUMPRODUCT(($A$10:$A$25&lt;&gt;"")*($D$10:$D$25&lt;=C359))+1,$E$10:$E$25,0)))</f>
        <v/>
      </c>
      <c r="F359" s="24" t="n">
        <f aca="false">IF(C359&gt;=TotalStations,0,IF(B359="Dédié",MIN(FLOOR(420/E359,1),(TotalStations-C359)),MIN(1,(TotalStations-C359))))</f>
        <v>0</v>
      </c>
      <c r="G359" s="24" t="n">
        <f aca="false">C359+F359</f>
        <v>199</v>
      </c>
      <c r="H359" s="24" t="n">
        <f aca="false">L358</f>
        <v>199</v>
      </c>
      <c r="I359" s="24" t="str">
        <f aca="false">IF(H359&gt;=TotalStations,"Terminé",INDEX($A$10:$A$25,MATCH(SUMPRODUCT(($A$10:$A$25&lt;&gt;"")*($D$10:$D$25&lt;=H359))+1,$E$10:$E$25,0)))</f>
        <v>Terminé</v>
      </c>
      <c r="J359" s="24" t="str">
        <f aca="false">IF(H359&gt;=TotalStations,"",INDEX($C$10:$C$25,MATCH(SUMPRODUCT(($A$10:$A$25&lt;&gt;"")*($D$10:$D$25&lt;=H359))+1,$E$10:$E$25,0)))</f>
        <v/>
      </c>
      <c r="K359" s="24" t="n">
        <f aca="false">IF(H359&gt;=TotalStations,0,IF(B359="Dédié",MIN(FLOOR(420/J359,1),(TotalStations-H359)),MIN(2,(TotalStations-H359))))</f>
        <v>0</v>
      </c>
      <c r="L359" s="24" t="n">
        <f aca="false">H359+K359</f>
        <v>199</v>
      </c>
      <c r="M359" s="24" t="n">
        <f aca="false">Q358</f>
        <v>199</v>
      </c>
      <c r="N359" s="24" t="str">
        <f aca="false">IF(M359&gt;=TotalStations,"Terminé",INDEX($A$10:$A$25,MATCH(SUMPRODUCT(($A$10:$A$25&lt;&gt;"")*($D$10:$D$25&lt;=M359))+1,$E$10:$E$25,0)))</f>
        <v>Terminé</v>
      </c>
      <c r="O359" s="24" t="str">
        <f aca="false">IF(M359&gt;=TotalStations,"",INDEX($C$10:$C$25,MATCH(SUMPRODUCT(($A$10:$A$25&lt;&gt;"")*($D$10:$D$25&lt;=M359))+1,$E$10:$E$25,0)))</f>
        <v/>
      </c>
      <c r="P359" s="24" t="n">
        <f aca="false">IF(M359&gt;=TotalStations,0,MIN(FLOOR(420/O359,1),(TotalStations-M359)))</f>
        <v>0</v>
      </c>
      <c r="Q359" s="24" t="n">
        <f aca="false">M359+P359</f>
        <v>199</v>
      </c>
    </row>
    <row r="360" customFormat="false" ht="15" hidden="false" customHeight="true" outlineLevel="0" collapsed="false">
      <c r="A360" s="37" t="n">
        <f aca="false">WORKDAY(A359,1)</f>
        <v>46675</v>
      </c>
      <c r="B360" s="24" t="str">
        <f aca="false">IF(COUNTIF($B$5:$F$5,A360)&gt;0,"Dédié","Normal")</f>
        <v>Normal</v>
      </c>
      <c r="C360" s="24" t="n">
        <f aca="false">G359</f>
        <v>199</v>
      </c>
      <c r="D360" s="24" t="str">
        <f aca="false">IF(C360&gt;=TotalStations,"Terminé",INDEX($A$10:$A$25,MATCH(SUMPRODUCT(($A$10:$A$25&lt;&gt;"")*($D$10:$D$25&lt;=C360))+1,$E$10:$E$25,0)))</f>
        <v>Terminé</v>
      </c>
      <c r="E360" s="24" t="str">
        <f aca="false">IF(C360&gt;=TotalStations,"",INDEX($C$10:$C$25,MATCH(SUMPRODUCT(($A$10:$A$25&lt;&gt;"")*($D$10:$D$25&lt;=C360))+1,$E$10:$E$25,0)))</f>
        <v/>
      </c>
      <c r="F360" s="24" t="n">
        <f aca="false">IF(C360&gt;=TotalStations,0,IF(B360="Dédié",MIN(FLOOR(420/E360,1),(TotalStations-C360)),MIN(1,(TotalStations-C360))))</f>
        <v>0</v>
      </c>
      <c r="G360" s="24" t="n">
        <f aca="false">C360+F360</f>
        <v>199</v>
      </c>
      <c r="H360" s="24" t="n">
        <f aca="false">L359</f>
        <v>199</v>
      </c>
      <c r="I360" s="24" t="str">
        <f aca="false">IF(H360&gt;=TotalStations,"Terminé",INDEX($A$10:$A$25,MATCH(SUMPRODUCT(($A$10:$A$25&lt;&gt;"")*($D$10:$D$25&lt;=H360))+1,$E$10:$E$25,0)))</f>
        <v>Terminé</v>
      </c>
      <c r="J360" s="24" t="str">
        <f aca="false">IF(H360&gt;=TotalStations,"",INDEX($C$10:$C$25,MATCH(SUMPRODUCT(($A$10:$A$25&lt;&gt;"")*($D$10:$D$25&lt;=H360))+1,$E$10:$E$25,0)))</f>
        <v/>
      </c>
      <c r="K360" s="24" t="n">
        <f aca="false">IF(H360&gt;=TotalStations,0,IF(B360="Dédié",MIN(FLOOR(420/J360,1),(TotalStations-H360)),MIN(2,(TotalStations-H360))))</f>
        <v>0</v>
      </c>
      <c r="L360" s="24" t="n">
        <f aca="false">H360+K360</f>
        <v>199</v>
      </c>
      <c r="M360" s="24" t="n">
        <f aca="false">Q359</f>
        <v>199</v>
      </c>
      <c r="N360" s="24" t="str">
        <f aca="false">IF(M360&gt;=TotalStations,"Terminé",INDEX($A$10:$A$25,MATCH(SUMPRODUCT(($A$10:$A$25&lt;&gt;"")*($D$10:$D$25&lt;=M360))+1,$E$10:$E$25,0)))</f>
        <v>Terminé</v>
      </c>
      <c r="O360" s="24" t="str">
        <f aca="false">IF(M360&gt;=TotalStations,"",INDEX($C$10:$C$25,MATCH(SUMPRODUCT(($A$10:$A$25&lt;&gt;"")*($D$10:$D$25&lt;=M360))+1,$E$10:$E$25,0)))</f>
        <v/>
      </c>
      <c r="P360" s="24" t="n">
        <f aca="false">IF(M360&gt;=TotalStations,0,MIN(FLOOR(420/O360,1),(TotalStations-M360)))</f>
        <v>0</v>
      </c>
      <c r="Q360" s="24" t="n">
        <f aca="false">M360+P360</f>
        <v>199</v>
      </c>
    </row>
    <row r="361" customFormat="false" ht="15" hidden="false" customHeight="true" outlineLevel="0" collapsed="false">
      <c r="A361" s="37" t="n">
        <f aca="false">WORKDAY(A360,1)</f>
        <v>46678</v>
      </c>
      <c r="B361" s="24" t="str">
        <f aca="false">IF(COUNTIF($B$5:$F$5,A361)&gt;0,"Dédié","Normal")</f>
        <v>Normal</v>
      </c>
      <c r="C361" s="24" t="n">
        <f aca="false">G360</f>
        <v>199</v>
      </c>
      <c r="D361" s="24" t="str">
        <f aca="false">IF(C361&gt;=TotalStations,"Terminé",INDEX($A$10:$A$25,MATCH(SUMPRODUCT(($A$10:$A$25&lt;&gt;"")*($D$10:$D$25&lt;=C361))+1,$E$10:$E$25,0)))</f>
        <v>Terminé</v>
      </c>
      <c r="E361" s="24" t="str">
        <f aca="false">IF(C361&gt;=TotalStations,"",INDEX($C$10:$C$25,MATCH(SUMPRODUCT(($A$10:$A$25&lt;&gt;"")*($D$10:$D$25&lt;=C361))+1,$E$10:$E$25,0)))</f>
        <v/>
      </c>
      <c r="F361" s="24" t="n">
        <f aca="false">IF(C361&gt;=TotalStations,0,IF(B361="Dédié",MIN(FLOOR(420/E361,1),(TotalStations-C361)),MIN(1,(TotalStations-C361))))</f>
        <v>0</v>
      </c>
      <c r="G361" s="24" t="n">
        <f aca="false">C361+F361</f>
        <v>199</v>
      </c>
      <c r="H361" s="24" t="n">
        <f aca="false">L360</f>
        <v>199</v>
      </c>
      <c r="I361" s="24" t="str">
        <f aca="false">IF(H361&gt;=TotalStations,"Terminé",INDEX($A$10:$A$25,MATCH(SUMPRODUCT(($A$10:$A$25&lt;&gt;"")*($D$10:$D$25&lt;=H361))+1,$E$10:$E$25,0)))</f>
        <v>Terminé</v>
      </c>
      <c r="J361" s="24" t="str">
        <f aca="false">IF(H361&gt;=TotalStations,"",INDEX($C$10:$C$25,MATCH(SUMPRODUCT(($A$10:$A$25&lt;&gt;"")*($D$10:$D$25&lt;=H361))+1,$E$10:$E$25,0)))</f>
        <v/>
      </c>
      <c r="K361" s="24" t="n">
        <f aca="false">IF(H361&gt;=TotalStations,0,IF(B361="Dédié",MIN(FLOOR(420/J361,1),(TotalStations-H361)),MIN(2,(TotalStations-H361))))</f>
        <v>0</v>
      </c>
      <c r="L361" s="24" t="n">
        <f aca="false">H361+K361</f>
        <v>199</v>
      </c>
      <c r="M361" s="24" t="n">
        <f aca="false">Q360</f>
        <v>199</v>
      </c>
      <c r="N361" s="24" t="str">
        <f aca="false">IF(M361&gt;=TotalStations,"Terminé",INDEX($A$10:$A$25,MATCH(SUMPRODUCT(($A$10:$A$25&lt;&gt;"")*($D$10:$D$25&lt;=M361))+1,$E$10:$E$25,0)))</f>
        <v>Terminé</v>
      </c>
      <c r="O361" s="24" t="str">
        <f aca="false">IF(M361&gt;=TotalStations,"",INDEX($C$10:$C$25,MATCH(SUMPRODUCT(($A$10:$A$25&lt;&gt;"")*($D$10:$D$25&lt;=M361))+1,$E$10:$E$25,0)))</f>
        <v/>
      </c>
      <c r="P361" s="24" t="n">
        <f aca="false">IF(M361&gt;=TotalStations,0,MIN(FLOOR(420/O361,1),(TotalStations-M361)))</f>
        <v>0</v>
      </c>
      <c r="Q361" s="24" t="n">
        <f aca="false">M361+P361</f>
        <v>199</v>
      </c>
    </row>
    <row r="362" customFormat="false" ht="15" hidden="false" customHeight="true" outlineLevel="0" collapsed="false">
      <c r="A362" s="37" t="n">
        <f aca="false">WORKDAY(A361,1)</f>
        <v>46679</v>
      </c>
      <c r="B362" s="24" t="str">
        <f aca="false">IF(COUNTIF($B$5:$F$5,A362)&gt;0,"Dédié","Normal")</f>
        <v>Normal</v>
      </c>
      <c r="C362" s="24" t="n">
        <f aca="false">G361</f>
        <v>199</v>
      </c>
      <c r="D362" s="24" t="str">
        <f aca="false">IF(C362&gt;=TotalStations,"Terminé",INDEX($A$10:$A$25,MATCH(SUMPRODUCT(($A$10:$A$25&lt;&gt;"")*($D$10:$D$25&lt;=C362))+1,$E$10:$E$25,0)))</f>
        <v>Terminé</v>
      </c>
      <c r="E362" s="24" t="str">
        <f aca="false">IF(C362&gt;=TotalStations,"",INDEX($C$10:$C$25,MATCH(SUMPRODUCT(($A$10:$A$25&lt;&gt;"")*($D$10:$D$25&lt;=C362))+1,$E$10:$E$25,0)))</f>
        <v/>
      </c>
      <c r="F362" s="24" t="n">
        <f aca="false">IF(C362&gt;=TotalStations,0,IF(B362="Dédié",MIN(FLOOR(420/E362,1),(TotalStations-C362)),MIN(1,(TotalStations-C362))))</f>
        <v>0</v>
      </c>
      <c r="G362" s="24" t="n">
        <f aca="false">C362+F362</f>
        <v>199</v>
      </c>
      <c r="H362" s="24" t="n">
        <f aca="false">L361</f>
        <v>199</v>
      </c>
      <c r="I362" s="24" t="str">
        <f aca="false">IF(H362&gt;=TotalStations,"Terminé",INDEX($A$10:$A$25,MATCH(SUMPRODUCT(($A$10:$A$25&lt;&gt;"")*($D$10:$D$25&lt;=H362))+1,$E$10:$E$25,0)))</f>
        <v>Terminé</v>
      </c>
      <c r="J362" s="24" t="str">
        <f aca="false">IF(H362&gt;=TotalStations,"",INDEX($C$10:$C$25,MATCH(SUMPRODUCT(($A$10:$A$25&lt;&gt;"")*($D$10:$D$25&lt;=H362))+1,$E$10:$E$25,0)))</f>
        <v/>
      </c>
      <c r="K362" s="24" t="n">
        <f aca="false">IF(H362&gt;=TotalStations,0,IF(B362="Dédié",MIN(FLOOR(420/J362,1),(TotalStations-H362)),MIN(2,(TotalStations-H362))))</f>
        <v>0</v>
      </c>
      <c r="L362" s="24" t="n">
        <f aca="false">H362+K362</f>
        <v>199</v>
      </c>
      <c r="M362" s="24" t="n">
        <f aca="false">Q361</f>
        <v>199</v>
      </c>
      <c r="N362" s="24" t="str">
        <f aca="false">IF(M362&gt;=TotalStations,"Terminé",INDEX($A$10:$A$25,MATCH(SUMPRODUCT(($A$10:$A$25&lt;&gt;"")*($D$10:$D$25&lt;=M362))+1,$E$10:$E$25,0)))</f>
        <v>Terminé</v>
      </c>
      <c r="O362" s="24" t="str">
        <f aca="false">IF(M362&gt;=TotalStations,"",INDEX($C$10:$C$25,MATCH(SUMPRODUCT(($A$10:$A$25&lt;&gt;"")*($D$10:$D$25&lt;=M362))+1,$E$10:$E$25,0)))</f>
        <v/>
      </c>
      <c r="P362" s="24" t="n">
        <f aca="false">IF(M362&gt;=TotalStations,0,MIN(FLOOR(420/O362,1),(TotalStations-M362)))</f>
        <v>0</v>
      </c>
      <c r="Q362" s="24" t="n">
        <f aca="false">M362+P362</f>
        <v>199</v>
      </c>
    </row>
    <row r="363" customFormat="false" ht="15" hidden="false" customHeight="true" outlineLevel="0" collapsed="false">
      <c r="A363" s="37" t="n">
        <f aca="false">WORKDAY(A362,1)</f>
        <v>46680</v>
      </c>
      <c r="B363" s="24" t="str">
        <f aca="false">IF(COUNTIF($B$5:$F$5,A363)&gt;0,"Dédié","Normal")</f>
        <v>Normal</v>
      </c>
      <c r="C363" s="24" t="n">
        <f aca="false">G362</f>
        <v>199</v>
      </c>
      <c r="D363" s="24" t="str">
        <f aca="false">IF(C363&gt;=TotalStations,"Terminé",INDEX($A$10:$A$25,MATCH(SUMPRODUCT(($A$10:$A$25&lt;&gt;"")*($D$10:$D$25&lt;=C363))+1,$E$10:$E$25,0)))</f>
        <v>Terminé</v>
      </c>
      <c r="E363" s="24" t="str">
        <f aca="false">IF(C363&gt;=TotalStations,"",INDEX($C$10:$C$25,MATCH(SUMPRODUCT(($A$10:$A$25&lt;&gt;"")*($D$10:$D$25&lt;=C363))+1,$E$10:$E$25,0)))</f>
        <v/>
      </c>
      <c r="F363" s="24" t="n">
        <f aca="false">IF(C363&gt;=TotalStations,0,IF(B363="Dédié",MIN(FLOOR(420/E363,1),(TotalStations-C363)),MIN(1,(TotalStations-C363))))</f>
        <v>0</v>
      </c>
      <c r="G363" s="24" t="n">
        <f aca="false">C363+F363</f>
        <v>199</v>
      </c>
      <c r="H363" s="24" t="n">
        <f aca="false">L362</f>
        <v>199</v>
      </c>
      <c r="I363" s="24" t="str">
        <f aca="false">IF(H363&gt;=TotalStations,"Terminé",INDEX($A$10:$A$25,MATCH(SUMPRODUCT(($A$10:$A$25&lt;&gt;"")*($D$10:$D$25&lt;=H363))+1,$E$10:$E$25,0)))</f>
        <v>Terminé</v>
      </c>
      <c r="J363" s="24" t="str">
        <f aca="false">IF(H363&gt;=TotalStations,"",INDEX($C$10:$C$25,MATCH(SUMPRODUCT(($A$10:$A$25&lt;&gt;"")*($D$10:$D$25&lt;=H363))+1,$E$10:$E$25,0)))</f>
        <v/>
      </c>
      <c r="K363" s="24" t="n">
        <f aca="false">IF(H363&gt;=TotalStations,0,IF(B363="Dédié",MIN(FLOOR(420/J363,1),(TotalStations-H363)),MIN(2,(TotalStations-H363))))</f>
        <v>0</v>
      </c>
      <c r="L363" s="24" t="n">
        <f aca="false">H363+K363</f>
        <v>199</v>
      </c>
      <c r="M363" s="24" t="n">
        <f aca="false">Q362</f>
        <v>199</v>
      </c>
      <c r="N363" s="24" t="str">
        <f aca="false">IF(M363&gt;=TotalStations,"Terminé",INDEX($A$10:$A$25,MATCH(SUMPRODUCT(($A$10:$A$25&lt;&gt;"")*($D$10:$D$25&lt;=M363))+1,$E$10:$E$25,0)))</f>
        <v>Terminé</v>
      </c>
      <c r="O363" s="24" t="str">
        <f aca="false">IF(M363&gt;=TotalStations,"",INDEX($C$10:$C$25,MATCH(SUMPRODUCT(($A$10:$A$25&lt;&gt;"")*($D$10:$D$25&lt;=M363))+1,$E$10:$E$25,0)))</f>
        <v/>
      </c>
      <c r="P363" s="24" t="n">
        <f aca="false">IF(M363&gt;=TotalStations,0,MIN(FLOOR(420/O363,1),(TotalStations-M363)))</f>
        <v>0</v>
      </c>
      <c r="Q363" s="24" t="n">
        <f aca="false">M363+P363</f>
        <v>199</v>
      </c>
    </row>
    <row r="364" customFormat="false" ht="15" hidden="false" customHeight="true" outlineLevel="0" collapsed="false">
      <c r="A364" s="37" t="n">
        <f aca="false">WORKDAY(A363,1)</f>
        <v>46681</v>
      </c>
      <c r="B364" s="24" t="str">
        <f aca="false">IF(COUNTIF($B$5:$F$5,A364)&gt;0,"Dédié","Normal")</f>
        <v>Normal</v>
      </c>
      <c r="C364" s="24" t="n">
        <f aca="false">G363</f>
        <v>199</v>
      </c>
      <c r="D364" s="24" t="str">
        <f aca="false">IF(C364&gt;=TotalStations,"Terminé",INDEX($A$10:$A$25,MATCH(SUMPRODUCT(($A$10:$A$25&lt;&gt;"")*($D$10:$D$25&lt;=C364))+1,$E$10:$E$25,0)))</f>
        <v>Terminé</v>
      </c>
      <c r="E364" s="24" t="str">
        <f aca="false">IF(C364&gt;=TotalStations,"",INDEX($C$10:$C$25,MATCH(SUMPRODUCT(($A$10:$A$25&lt;&gt;"")*($D$10:$D$25&lt;=C364))+1,$E$10:$E$25,0)))</f>
        <v/>
      </c>
      <c r="F364" s="24" t="n">
        <f aca="false">IF(C364&gt;=TotalStations,0,IF(B364="Dédié",MIN(FLOOR(420/E364,1),(TotalStations-C364)),MIN(1,(TotalStations-C364))))</f>
        <v>0</v>
      </c>
      <c r="G364" s="24" t="n">
        <f aca="false">C364+F364</f>
        <v>199</v>
      </c>
      <c r="H364" s="24" t="n">
        <f aca="false">L363</f>
        <v>199</v>
      </c>
      <c r="I364" s="24" t="str">
        <f aca="false">IF(H364&gt;=TotalStations,"Terminé",INDEX($A$10:$A$25,MATCH(SUMPRODUCT(($A$10:$A$25&lt;&gt;"")*($D$10:$D$25&lt;=H364))+1,$E$10:$E$25,0)))</f>
        <v>Terminé</v>
      </c>
      <c r="J364" s="24" t="str">
        <f aca="false">IF(H364&gt;=TotalStations,"",INDEX($C$10:$C$25,MATCH(SUMPRODUCT(($A$10:$A$25&lt;&gt;"")*($D$10:$D$25&lt;=H364))+1,$E$10:$E$25,0)))</f>
        <v/>
      </c>
      <c r="K364" s="24" t="n">
        <f aca="false">IF(H364&gt;=TotalStations,0,IF(B364="Dédié",MIN(FLOOR(420/J364,1),(TotalStations-H364)),MIN(2,(TotalStations-H364))))</f>
        <v>0</v>
      </c>
      <c r="L364" s="24" t="n">
        <f aca="false">H364+K364</f>
        <v>199</v>
      </c>
      <c r="M364" s="24" t="n">
        <f aca="false">Q363</f>
        <v>199</v>
      </c>
      <c r="N364" s="24" t="str">
        <f aca="false">IF(M364&gt;=TotalStations,"Terminé",INDEX($A$10:$A$25,MATCH(SUMPRODUCT(($A$10:$A$25&lt;&gt;"")*($D$10:$D$25&lt;=M364))+1,$E$10:$E$25,0)))</f>
        <v>Terminé</v>
      </c>
      <c r="O364" s="24" t="str">
        <f aca="false">IF(M364&gt;=TotalStations,"",INDEX($C$10:$C$25,MATCH(SUMPRODUCT(($A$10:$A$25&lt;&gt;"")*($D$10:$D$25&lt;=M364))+1,$E$10:$E$25,0)))</f>
        <v/>
      </c>
      <c r="P364" s="24" t="n">
        <f aca="false">IF(M364&gt;=TotalStations,0,MIN(FLOOR(420/O364,1),(TotalStations-M364)))</f>
        <v>0</v>
      </c>
      <c r="Q364" s="24" t="n">
        <f aca="false">M364+P364</f>
        <v>199</v>
      </c>
    </row>
    <row r="365" customFormat="false" ht="15" hidden="false" customHeight="true" outlineLevel="0" collapsed="false">
      <c r="A365" s="37" t="n">
        <f aca="false">WORKDAY(A364,1)</f>
        <v>46682</v>
      </c>
      <c r="B365" s="24" t="str">
        <f aca="false">IF(COUNTIF($B$5:$F$5,A365)&gt;0,"Dédié","Normal")</f>
        <v>Normal</v>
      </c>
      <c r="C365" s="24" t="n">
        <f aca="false">G364</f>
        <v>199</v>
      </c>
      <c r="D365" s="24" t="str">
        <f aca="false">IF(C365&gt;=TotalStations,"Terminé",INDEX($A$10:$A$25,MATCH(SUMPRODUCT(($A$10:$A$25&lt;&gt;"")*($D$10:$D$25&lt;=C365))+1,$E$10:$E$25,0)))</f>
        <v>Terminé</v>
      </c>
      <c r="E365" s="24" t="str">
        <f aca="false">IF(C365&gt;=TotalStations,"",INDEX($C$10:$C$25,MATCH(SUMPRODUCT(($A$10:$A$25&lt;&gt;"")*($D$10:$D$25&lt;=C365))+1,$E$10:$E$25,0)))</f>
        <v/>
      </c>
      <c r="F365" s="24" t="n">
        <f aca="false">IF(C365&gt;=TotalStations,0,IF(B365="Dédié",MIN(FLOOR(420/E365,1),(TotalStations-C365)),MIN(1,(TotalStations-C365))))</f>
        <v>0</v>
      </c>
      <c r="G365" s="24" t="n">
        <f aca="false">C365+F365</f>
        <v>199</v>
      </c>
      <c r="H365" s="24" t="n">
        <f aca="false">L364</f>
        <v>199</v>
      </c>
      <c r="I365" s="24" t="str">
        <f aca="false">IF(H365&gt;=TotalStations,"Terminé",INDEX($A$10:$A$25,MATCH(SUMPRODUCT(($A$10:$A$25&lt;&gt;"")*($D$10:$D$25&lt;=H365))+1,$E$10:$E$25,0)))</f>
        <v>Terminé</v>
      </c>
      <c r="J365" s="24" t="str">
        <f aca="false">IF(H365&gt;=TotalStations,"",INDEX($C$10:$C$25,MATCH(SUMPRODUCT(($A$10:$A$25&lt;&gt;"")*($D$10:$D$25&lt;=H365))+1,$E$10:$E$25,0)))</f>
        <v/>
      </c>
      <c r="K365" s="24" t="n">
        <f aca="false">IF(H365&gt;=TotalStations,0,IF(B365="Dédié",MIN(FLOOR(420/J365,1),(TotalStations-H365)),MIN(2,(TotalStations-H365))))</f>
        <v>0</v>
      </c>
      <c r="L365" s="24" t="n">
        <f aca="false">H365+K365</f>
        <v>199</v>
      </c>
      <c r="M365" s="24" t="n">
        <f aca="false">Q364</f>
        <v>199</v>
      </c>
      <c r="N365" s="24" t="str">
        <f aca="false">IF(M365&gt;=TotalStations,"Terminé",INDEX($A$10:$A$25,MATCH(SUMPRODUCT(($A$10:$A$25&lt;&gt;"")*($D$10:$D$25&lt;=M365))+1,$E$10:$E$25,0)))</f>
        <v>Terminé</v>
      </c>
      <c r="O365" s="24" t="str">
        <f aca="false">IF(M365&gt;=TotalStations,"",INDEX($C$10:$C$25,MATCH(SUMPRODUCT(($A$10:$A$25&lt;&gt;"")*($D$10:$D$25&lt;=M365))+1,$E$10:$E$25,0)))</f>
        <v/>
      </c>
      <c r="P365" s="24" t="n">
        <f aca="false">IF(M365&gt;=TotalStations,0,MIN(FLOOR(420/O365,1),(TotalStations-M365)))</f>
        <v>0</v>
      </c>
      <c r="Q365" s="24" t="n">
        <f aca="false">M365+P365</f>
        <v>199</v>
      </c>
    </row>
  </sheetData>
  <mergeCells count="10">
    <mergeCell ref="A1:Q1"/>
    <mergeCell ref="A2:Q2"/>
    <mergeCell ref="C4:Q4"/>
    <mergeCell ref="G5:Q5"/>
    <mergeCell ref="C6:Q6"/>
    <mergeCell ref="A28:Q28"/>
    <mergeCell ref="A29:Q29"/>
    <mergeCell ref="A31:Q31"/>
    <mergeCell ref="A37:Q37"/>
    <mergeCell ref="A56:Q56"/>
  </mergeCells>
  <dataValidations count="1">
    <dataValidation allowBlank="false" errorStyle="stop" operator="equal" showDropDown="false" showErrorMessage="false" showInputMessage="false" sqref="B6" type="list">
      <formula1>"Non tranchée,1 station/jour,2 stations/jour,Plein temps (7h/jour dédiées)"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8" activeCellId="0" sqref="38:38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3.7"/>
    <col collapsed="false" customWidth="true" hidden="false" outlineLevel="0" max="2" min="2" style="1" width="27"/>
    <col collapsed="false" customWidth="true" hidden="false" outlineLevel="0" max="5" min="3" style="1" width="13"/>
    <col collapsed="false" customWidth="true" hidden="false" outlineLevel="0" max="6" min="6" style="1" width="15"/>
    <col collapsed="false" customWidth="true" hidden="false" outlineLevel="0" max="7" min="7" style="1" width="17"/>
    <col collapsed="false" customWidth="true" hidden="false" outlineLevel="0" max="8" min="8" style="1" width="15"/>
  </cols>
  <sheetData>
    <row r="1" customFormat="false" ht="13.8" hidden="false" customHeight="false" outlineLevel="0" collapsed="false"/>
    <row r="2" customFormat="false" ht="25.5" hidden="false" customHeight="true" outlineLevel="0" collapsed="false">
      <c r="B2" s="38" t="s">
        <v>128</v>
      </c>
      <c r="C2" s="38"/>
      <c r="D2" s="38"/>
      <c r="E2" s="38"/>
      <c r="F2" s="38"/>
      <c r="G2" s="38"/>
      <c r="H2" s="38"/>
    </row>
    <row r="3" customFormat="false" ht="30" hidden="false" customHeight="true" outlineLevel="0" collapsed="false">
      <c r="B3" s="39" t="s">
        <v>129</v>
      </c>
      <c r="C3" s="39"/>
      <c r="D3" s="39"/>
      <c r="E3" s="39"/>
      <c r="F3" s="39"/>
      <c r="G3" s="39"/>
      <c r="H3" s="39"/>
    </row>
    <row r="4" customFormat="false" ht="13.8" hidden="false" customHeight="false" outlineLevel="0" collapsed="false"/>
    <row r="5" customFormat="false" ht="19.5" hidden="false" customHeight="true" outlineLevel="0" collapsed="false">
      <c r="B5" s="40" t="s">
        <v>130</v>
      </c>
      <c r="C5" s="40"/>
      <c r="D5" s="40"/>
      <c r="E5" s="40"/>
      <c r="F5" s="40"/>
      <c r="G5" s="40"/>
      <c r="H5" s="40"/>
    </row>
    <row r="6" customFormat="false" ht="25.5" hidden="false" customHeight="true" outlineLevel="0" collapsed="false">
      <c r="B6" s="41" t="s">
        <v>131</v>
      </c>
      <c r="C6" s="41" t="s">
        <v>132</v>
      </c>
      <c r="D6" s="41" t="s">
        <v>133</v>
      </c>
      <c r="E6" s="41" t="s">
        <v>134</v>
      </c>
      <c r="F6" s="41" t="s">
        <v>135</v>
      </c>
      <c r="G6" s="41" t="s">
        <v>136</v>
      </c>
    </row>
    <row r="7" customFormat="false" ht="33.75" hidden="false" customHeight="true" outlineLevel="0" collapsed="false">
      <c r="B7" s="42" t="n">
        <v>132</v>
      </c>
      <c r="C7" s="43" t="n">
        <f aca="false">COUNTIF('Single 1'!L3:L16,"Fait")+COUNTIF('Single 1'!L18:L29,"Fait")+COUNTIF('Single 2'!L3:L16,"Fait")+COUNTIF('Single 2'!L18:L29,"Fait")+COUNTIF(PCNS!L3:L11,"Fait")+COUNTIF(PCNS!L13:L19,"Fait")+COUNTIF(KO!L2:L5,"Fait")+COUNTIF(P2R!L2:L61,"Fait")</f>
        <v>10</v>
      </c>
      <c r="D7" s="44" t="n">
        <f aca="false">COUNTIF('Single 1'!L3:L16,"En cours")+COUNTIF('Single 1'!L18:L29,"En cours")+COUNTIF('Single 2'!L3:L16,"En cours")+COUNTIF('Single 2'!L18:L29,"En cours")+COUNTIF(PCNS!L3:L11,"En cours")+COUNTIF(PCNS!L13:L19,"En cours")+COUNTIF(KO!L2:L5,"En cours")+COUNTIF(P2R!L2:L61,"En cours")</f>
        <v>1</v>
      </c>
      <c r="E7" s="45" t="n">
        <f aca="false">COUNTIF('Single 1'!L3:L16,"A faire")+COUNTIF('Single 1'!L18:L29,"A faire")+COUNTIF('Single 2'!L3:L16,"A faire")+COUNTIF('Single 2'!L18:L29,"A faire")+COUNTIF(PCNS!L3:L11,"A faire")+COUNTIF(PCNS!L13:L19,"A faire")+COUNTIF(KO!L2:L5,"A faire")+COUNTIF(P2R!L2:L61,"A faire")</f>
        <v>121</v>
      </c>
      <c r="F7" s="46" t="n">
        <f aca="false">C7/B7</f>
        <v>0.0757575757575758</v>
      </c>
      <c r="G7" s="42" t="n">
        <f aca="false">SUM('Single 1'!O3:O16,'Single 1'!O18:O29,'Single 2'!O3:O16,'Single 2'!O18:O29,PCNS!O3:O11,PCNS!O13:O19,KO!O2:O5,P2R!O2:O61)/60</f>
        <v>248.916666666667</v>
      </c>
    </row>
    <row r="8" customFormat="false" ht="13.8" hidden="false" customHeight="false" outlineLevel="0" collapsed="false"/>
    <row r="9" customFormat="false" ht="19.5" hidden="false" customHeight="true" outlineLevel="0" collapsed="false">
      <c r="B9" s="40" t="s">
        <v>137</v>
      </c>
      <c r="C9" s="40"/>
      <c r="D9" s="40"/>
      <c r="E9" s="40"/>
      <c r="F9" s="40"/>
      <c r="G9" s="40"/>
      <c r="H9" s="40"/>
    </row>
    <row r="10" customFormat="false" ht="25.5" hidden="false" customHeight="true" outlineLevel="0" collapsed="false">
      <c r="B10" s="41" t="s">
        <v>38</v>
      </c>
      <c r="C10" s="41" t="s">
        <v>138</v>
      </c>
      <c r="D10" s="41" t="s">
        <v>132</v>
      </c>
      <c r="E10" s="41" t="s">
        <v>133</v>
      </c>
      <c r="F10" s="41" t="s">
        <v>134</v>
      </c>
      <c r="G10" s="41" t="s">
        <v>135</v>
      </c>
      <c r="H10" s="41" t="s">
        <v>139</v>
      </c>
    </row>
    <row r="11" customFormat="false" ht="14.9" hidden="false" customHeight="false" outlineLevel="0" collapsed="false">
      <c r="B11" s="47" t="s">
        <v>69</v>
      </c>
      <c r="C11" s="48" t="n">
        <v>26</v>
      </c>
      <c r="D11" s="49" t="n">
        <f aca="false">COUNTIF('Single 1'!L3:L16,"Fait")+COUNTIF('Single 1'!L18:L29,"Fait")</f>
        <v>4</v>
      </c>
      <c r="E11" s="50" t="n">
        <f aca="false">COUNTIF('Single 1'!L3:L16,"En cours")+COUNTIF('Single 1'!L18:L29,"En cours")</f>
        <v>1</v>
      </c>
      <c r="F11" s="51" t="n">
        <f aca="false">COUNTIF('Single 1'!L3:L16,"A faire")+COUNTIF('Single 1'!L18:L29,"A faire")</f>
        <v>21</v>
      </c>
      <c r="G11" s="52" t="n">
        <f aca="false">D11/C11</f>
        <v>0.153846153846154</v>
      </c>
      <c r="H11" s="48" t="n">
        <f aca="false">SUM('Single 1'!O3:O16,'Single 1'!O18:O29)</f>
        <v>3310</v>
      </c>
    </row>
    <row r="12" customFormat="false" ht="14.9" hidden="false" customHeight="false" outlineLevel="0" collapsed="false">
      <c r="B12" s="47" t="s">
        <v>70</v>
      </c>
      <c r="C12" s="48" t="n">
        <v>26</v>
      </c>
      <c r="D12" s="49" t="n">
        <f aca="false">COUNTIF('Single 2'!L3:L16,"Fait")+COUNTIF('Single 2'!L18:L29,"Fait")</f>
        <v>6</v>
      </c>
      <c r="E12" s="50" t="n">
        <f aca="false">COUNTIF('Single 2'!L3:L16,"En cours")+COUNTIF('Single 2'!L18:L29,"En cours")</f>
        <v>0</v>
      </c>
      <c r="F12" s="51" t="n">
        <f aca="false">COUNTIF('Single 2'!L3:L16,"A faire")+COUNTIF('Single 2'!L18:L29,"A faire")</f>
        <v>20</v>
      </c>
      <c r="G12" s="53" t="n">
        <f aca="false">D12/C12</f>
        <v>0.230769230769231</v>
      </c>
      <c r="H12" s="48" t="n">
        <f aca="false">SUM('Single 2'!O3:O16,'Single 2'!O18:O29)</f>
        <v>3105</v>
      </c>
    </row>
    <row r="13" customFormat="false" ht="14.9" hidden="false" customHeight="false" outlineLevel="0" collapsed="false">
      <c r="B13" s="47" t="s">
        <v>71</v>
      </c>
      <c r="C13" s="48" t="n">
        <v>9</v>
      </c>
      <c r="D13" s="49" t="n">
        <f aca="false">COUNTIF(PCNS!L3:L11,"Fait")</f>
        <v>0</v>
      </c>
      <c r="E13" s="50" t="n">
        <f aca="false">COUNTIF(PCNS!L3:L11,"En cours")</f>
        <v>0</v>
      </c>
      <c r="F13" s="51" t="n">
        <f aca="false">COUNTIF(PCNS!L3:L11,"A faire")</f>
        <v>9</v>
      </c>
      <c r="G13" s="53" t="n">
        <f aca="false">D13/C13</f>
        <v>0</v>
      </c>
      <c r="H13" s="48" t="n">
        <f aca="false">SUM(PCNS!O3:O11)</f>
        <v>1350</v>
      </c>
    </row>
    <row r="14" customFormat="false" ht="14.9" hidden="false" customHeight="false" outlineLevel="0" collapsed="false">
      <c r="B14" s="47" t="s">
        <v>72</v>
      </c>
      <c r="C14" s="48" t="n">
        <v>7</v>
      </c>
      <c r="D14" s="49" t="n">
        <f aca="false">COUNTIF(PCNS!L13:L19,"Fait")</f>
        <v>0</v>
      </c>
      <c r="E14" s="50" t="n">
        <f aca="false">COUNTIF(PCNS!L13:L19,"En cours")</f>
        <v>0</v>
      </c>
      <c r="F14" s="51" t="n">
        <f aca="false">COUNTIF(PCNS!L13:L19,"A faire")</f>
        <v>7</v>
      </c>
      <c r="G14" s="53" t="n">
        <f aca="false">D14/C14</f>
        <v>0</v>
      </c>
      <c r="H14" s="48" t="n">
        <f aca="false">SUM(PCNS!O13:O19)</f>
        <v>1050</v>
      </c>
    </row>
    <row r="15" customFormat="false" ht="14.9" hidden="false" customHeight="false" outlineLevel="0" collapsed="false">
      <c r="B15" s="47" t="s">
        <v>50</v>
      </c>
      <c r="C15" s="48" t="n">
        <v>4</v>
      </c>
      <c r="D15" s="49" t="n">
        <f aca="false">COUNTIF(KO!L2:L5,"Fait")</f>
        <v>0</v>
      </c>
      <c r="E15" s="50" t="n">
        <f aca="false">COUNTIF(KO!L2:L5,"En cours")</f>
        <v>0</v>
      </c>
      <c r="F15" s="51" t="n">
        <f aca="false">COUNTIF(KO!L2:L5,"A faire")</f>
        <v>4</v>
      </c>
      <c r="G15" s="53" t="n">
        <f aca="false">D15/C15</f>
        <v>0</v>
      </c>
      <c r="H15" s="48" t="n">
        <f aca="false">SUM(KO!O2:O5)</f>
        <v>720</v>
      </c>
    </row>
    <row r="16" customFormat="false" ht="14.9" hidden="false" customHeight="false" outlineLevel="0" collapsed="false">
      <c r="B16" s="47" t="s">
        <v>53</v>
      </c>
      <c r="C16" s="48" t="n">
        <v>60</v>
      </c>
      <c r="D16" s="49" t="n">
        <f aca="false">COUNTIF(P2R!L2:L61,"Fait")</f>
        <v>0</v>
      </c>
      <c r="E16" s="50" t="n">
        <f aca="false">COUNTIF(P2R!L2:L61,"En cours")</f>
        <v>0</v>
      </c>
      <c r="F16" s="51" t="n">
        <f aca="false">COUNTIF(P2R!L2:L61,"A faire")</f>
        <v>60</v>
      </c>
      <c r="G16" s="53" t="n">
        <f aca="false">D16/C16</f>
        <v>0</v>
      </c>
      <c r="H16" s="48" t="n">
        <f aca="false">SUM(P2R!O2:O61)</f>
        <v>5400</v>
      </c>
    </row>
    <row r="17" customFormat="false" ht="14.9" hidden="false" customHeight="false" outlineLevel="0" collapsed="false">
      <c r="B17" s="54" t="s">
        <v>140</v>
      </c>
      <c r="C17" s="55" t="n">
        <f aca="false">SUM(C11:C16)</f>
        <v>132</v>
      </c>
      <c r="D17" s="55" t="n">
        <f aca="false">SUM(D11:D16)</f>
        <v>10</v>
      </c>
      <c r="E17" s="55" t="n">
        <f aca="false">SUM(E11:E16)</f>
        <v>1</v>
      </c>
      <c r="F17" s="55" t="n">
        <f aca="false">SUM(F11:F16)</f>
        <v>121</v>
      </c>
      <c r="G17" s="56" t="n">
        <f aca="false">D17/C17</f>
        <v>0.0757575757575758</v>
      </c>
      <c r="H17" s="55" t="n">
        <f aca="false">SUM(H11:H16)</f>
        <v>14935</v>
      </c>
    </row>
    <row r="18" customFormat="false" ht="13.8" hidden="false" customHeight="false" outlineLevel="0" collapsed="false"/>
    <row r="19" customFormat="false" ht="19.5" hidden="false" customHeight="true" outlineLevel="0" collapsed="false">
      <c r="B19" s="40" t="s">
        <v>141</v>
      </c>
      <c r="C19" s="40"/>
      <c r="D19" s="40"/>
      <c r="E19" s="40"/>
      <c r="F19" s="40"/>
      <c r="G19" s="40"/>
      <c r="H19" s="40"/>
    </row>
    <row r="20" customFormat="false" ht="25.5" hidden="false" customHeight="true" outlineLevel="0" collapsed="false">
      <c r="B20" s="41" t="s">
        <v>142</v>
      </c>
      <c r="C20" s="41" t="s">
        <v>143</v>
      </c>
      <c r="D20" s="41" t="s">
        <v>144</v>
      </c>
    </row>
    <row r="21" customFormat="false" ht="14.9" hidden="false" customHeight="false" outlineLevel="0" collapsed="false">
      <c r="B21" s="47" t="s">
        <v>145</v>
      </c>
      <c r="C21" s="49" t="n">
        <f aca="false">COUNTIF('Single 1'!B3:B16,"T655")+COUNTIF('Single 1'!B18:B29,"T655")+COUNTIF('Single 2'!B3:B16,"T655")+COUNTIF('Single 2'!B18:B29,"T655")+COUNTIF(PCNS!B3:B11,"T655")+COUNTIF(PCNS!B13:B19,"T655")+COUNTIF(KO!B2:B5,"T655")+COUNTIF(P2R!B2:B61,"T655")</f>
        <v>93</v>
      </c>
      <c r="D21" s="53" t="n">
        <f aca="false">C21/$B$7</f>
        <v>0.704545454545455</v>
      </c>
    </row>
    <row r="22" customFormat="false" ht="14.9" hidden="false" customHeight="false" outlineLevel="0" collapsed="false">
      <c r="B22" s="47" t="s">
        <v>146</v>
      </c>
      <c r="C22" s="51" t="n">
        <f aca="false">COUNTIF('Single 1'!B3:B16,"T630")+COUNTIF('Single 1'!B18:B29,"T630")+COUNTIF('Single 2'!B3:B16,"T630")+COUNTIF('Single 2'!B18:B29,"T630")+COUNTIF(PCNS!B3:B11,"T630")+COUNTIF(PCNS!B13:B19,"T630")+COUNTIF(KO!B2:B5,"T630")+COUNTIF(P2R!B2:B61,"T630")</f>
        <v>19</v>
      </c>
      <c r="D22" s="53" t="n">
        <f aca="false">C22/$B$7</f>
        <v>0.143939393939394</v>
      </c>
    </row>
    <row r="23" customFormat="false" ht="14.9" hidden="false" customHeight="false" outlineLevel="0" collapsed="false">
      <c r="B23" s="47" t="s">
        <v>147</v>
      </c>
      <c r="C23" s="51" t="n">
        <f aca="false">COUNTIF('Single 1'!B3:B16,"T640")+COUNTIF('Single 1'!B18:B29,"T640")+COUNTIF('Single 2'!B3:B16,"T640")+COUNTIF('Single 2'!B18:B29,"T640")+COUNTIF(PCNS!B3:B11,"T640")+COUNTIF(PCNS!B13:B19,"T640")+COUNTIF(KO!B2:B5,"T640")+COUNTIF(P2R!B2:B61,"T640")</f>
        <v>0</v>
      </c>
      <c r="D23" s="53" t="n">
        <f aca="false">C23/$B$7</f>
        <v>0</v>
      </c>
    </row>
    <row r="24" customFormat="false" ht="14.9" hidden="false" customHeight="false" outlineLevel="0" collapsed="false">
      <c r="B24" s="47" t="s">
        <v>148</v>
      </c>
      <c r="C24" s="57" t="n">
        <f aca="false">$B$7-C21-C22-C23</f>
        <v>20</v>
      </c>
      <c r="D24" s="53" t="n">
        <f aca="false">C24/$B$7</f>
        <v>0.151515151515152</v>
      </c>
    </row>
    <row r="25" customFormat="false" ht="13.8" hidden="false" customHeight="false" outlineLevel="0" collapsed="false"/>
    <row r="26" customFormat="false" ht="19.5" hidden="false" customHeight="true" outlineLevel="0" collapsed="false">
      <c r="B26" s="40" t="s">
        <v>149</v>
      </c>
      <c r="C26" s="40"/>
      <c r="D26" s="40"/>
      <c r="E26" s="40"/>
      <c r="F26" s="40"/>
      <c r="G26" s="40"/>
      <c r="H26" s="40"/>
    </row>
    <row r="27" customFormat="false" ht="25.5" hidden="false" customHeight="true" outlineLevel="0" collapsed="false">
      <c r="B27" s="41" t="s">
        <v>150</v>
      </c>
      <c r="C27" s="41" t="s">
        <v>151</v>
      </c>
      <c r="D27" s="41" t="s">
        <v>152</v>
      </c>
      <c r="E27" s="41" t="s">
        <v>153</v>
      </c>
      <c r="F27" s="41" t="s">
        <v>154</v>
      </c>
    </row>
    <row r="28" customFormat="false" ht="14.9" hidden="false" customHeight="false" outlineLevel="0" collapsed="false">
      <c r="B28" s="47" t="s">
        <v>155</v>
      </c>
      <c r="C28" s="49" t="n">
        <f aca="false">COUNTIF('Single 1'!E3:E16,"OK")+COUNTIF('Single 1'!E18:E29,"OK")+COUNTIF('Single 2'!E3:E16,"OK")+COUNTIF('Single 2'!E18:E29,"OK")+COUNTIF(PCNS!E3:E11,"OK")+COUNTIF(PCNS!E13:E19,"OK")+COUNTIF(KO!E2:E5,"OK")+COUNTIF(P2R!E2:E61,"OK")</f>
        <v>52</v>
      </c>
      <c r="D28" s="51" t="n">
        <f aca="false">COUNTIF('Single 1'!E3:E16,"Pas OK")+COUNTIF('Single 1'!E18:E29,"Pas OK")+COUNTIF('Single 2'!E3:E16,"Pas OK")+COUNTIF('Single 2'!E18:E29,"Pas OK")+COUNTIF(PCNS!E3:E11,"Pas OK")+COUNTIF(PCNS!E13:E19,"Pas OK")+COUNTIF(KO!E2:E5,"Pas OK")+COUNTIF(P2R!E2:E61,"Pas OK")</f>
        <v>0</v>
      </c>
      <c r="E28" s="48" t="n">
        <f aca="false">C28+D28</f>
        <v>52</v>
      </c>
      <c r="F28" s="53" t="n">
        <f aca="false">IF(E28&gt;0,C28/E28,0)</f>
        <v>1</v>
      </c>
    </row>
    <row r="29" customFormat="false" ht="14.9" hidden="false" customHeight="false" outlineLevel="0" collapsed="false">
      <c r="B29" s="47" t="s">
        <v>156</v>
      </c>
      <c r="C29" s="49" t="n">
        <f aca="false">COUNTIF('Single 1'!F3:F16,"OK")+COUNTIF('Single 1'!F18:F29,"OK")+COUNTIF('Single 2'!F3:F16,"OK")+COUNTIF('Single 2'!F18:F29,"OK")+COUNTIF(PCNS!F3:F11,"OK")+COUNTIF(PCNS!F13:F19,"OK")+COUNTIF(KO!F2:F5,"OK")+COUNTIF(P2R!F2:F61,"OK")</f>
        <v>52</v>
      </c>
      <c r="D29" s="51" t="n">
        <f aca="false">COUNTIF('Single 1'!F3:F16,"Pas OK")+COUNTIF('Single 1'!F18:F29,"Pas OK")+COUNTIF('Single 2'!F3:F16,"Pas OK")+COUNTIF('Single 2'!F18:F29,"Pas OK")+COUNTIF(PCNS!F3:F11,"Pas OK")+COUNTIF(PCNS!F13:F19,"Pas OK")+COUNTIF(KO!F2:F5,"Pas OK")+COUNTIF(P2R!F2:F61,"Pas OK")</f>
        <v>0</v>
      </c>
      <c r="E29" s="48" t="n">
        <f aca="false">C29+D29</f>
        <v>52</v>
      </c>
      <c r="F29" s="53" t="n">
        <f aca="false">IF(E29&gt;0,C29/E29,0)</f>
        <v>1</v>
      </c>
    </row>
    <row r="30" customFormat="false" ht="14.9" hidden="false" customHeight="false" outlineLevel="0" collapsed="false">
      <c r="B30" s="47" t="s">
        <v>157</v>
      </c>
      <c r="C30" s="49" t="n">
        <f aca="false">COUNTIF('Single 1'!G3:G16,"OK")+COUNTIF('Single 1'!G18:G29,"OK")+COUNTIF('Single 2'!G3:G16,"OK")+COUNTIF('Single 2'!G18:G29,"OK")+COUNTIF(PCNS!G3:G11,"OK")+COUNTIF(PCNS!G13:G19,"OK")+COUNTIF(KO!G2:G5,"OK")+COUNTIF(P2R!G2:G61,"OK")</f>
        <v>52</v>
      </c>
      <c r="D30" s="51" t="n">
        <f aca="false">COUNTIF('Single 1'!G3:G16,"Pas OK")+COUNTIF('Single 1'!G18:G29,"Pas OK")+COUNTIF('Single 2'!G3:G16,"Pas OK")+COUNTIF('Single 2'!G18:G29,"Pas OK")+COUNTIF(PCNS!G3:G11,"Pas OK")+COUNTIF(PCNS!G13:G19,"Pas OK")+COUNTIF(KO!G2:G5,"Pas OK")+COUNTIF(P2R!G2:G61,"Pas OK")</f>
        <v>0</v>
      </c>
      <c r="E30" s="48" t="n">
        <f aca="false">C30+D30</f>
        <v>52</v>
      </c>
      <c r="F30" s="53" t="n">
        <f aca="false">IF(E30&gt;0,C30/E30,0)</f>
        <v>1</v>
      </c>
    </row>
    <row r="31" customFormat="false" ht="14.9" hidden="false" customHeight="false" outlineLevel="0" collapsed="false">
      <c r="B31" s="47" t="s">
        <v>158</v>
      </c>
      <c r="C31" s="49" t="n">
        <f aca="false">COUNTIF('Single 1'!H3:H16,"OK")+COUNTIF('Single 1'!H18:H29,"OK")+COUNTIF('Single 2'!H3:H16,"OK")+COUNTIF('Single 2'!H18:H29,"OK")+COUNTIF(PCNS!H3:H11,"OK")+COUNTIF(PCNS!H13:H19,"OK")+COUNTIF(KO!H2:H5,"OK")+COUNTIF(P2R!H2:H61,"OK")</f>
        <v>52</v>
      </c>
      <c r="D31" s="51" t="n">
        <f aca="false">COUNTIF('Single 1'!H3:H16,"Pas OK")+COUNTIF('Single 1'!H18:H29,"Pas OK")+COUNTIF('Single 2'!H3:H16,"Pas OK")+COUNTIF('Single 2'!H18:H29,"Pas OK")+COUNTIF(PCNS!H3:H11,"Pas OK")+COUNTIF(PCNS!H13:H19,"Pas OK")+COUNTIF(KO!H2:H5,"Pas OK")+COUNTIF(P2R!H2:H61,"Pas OK")</f>
        <v>0</v>
      </c>
      <c r="E31" s="48" t="n">
        <f aca="false">C31+D31</f>
        <v>52</v>
      </c>
      <c r="F31" s="53" t="n">
        <f aca="false">IF(E31&gt;0,C31/E31,0)</f>
        <v>1</v>
      </c>
    </row>
    <row r="32" customFormat="false" ht="14.9" hidden="false" customHeight="false" outlineLevel="0" collapsed="false">
      <c r="B32" s="47" t="s">
        <v>159</v>
      </c>
      <c r="C32" s="49" t="n">
        <f aca="false">COUNTIF('Single 1'!I3:I16,"OK")+COUNTIF('Single 1'!I18:I29,"OK")+COUNTIF('Single 2'!I3:I16,"OK")+COUNTIF('Single 2'!I18:I29,"OK")+COUNTIF(PCNS!I3:I11,"OK")+COUNTIF(PCNS!I13:I19,"OK")+COUNTIF(KO!I2:I5,"OK")+COUNTIF(P2R!I2:I61,"OK")</f>
        <v>10</v>
      </c>
      <c r="D32" s="51" t="n">
        <f aca="false">COUNTIF('Single 1'!I3:I16,"Pas OK")+COUNTIF('Single 1'!I18:I29,"Pas OK")+COUNTIF('Single 2'!I3:I16,"Pas OK")+COUNTIF('Single 2'!I18:I29,"Pas OK")+COUNTIF(PCNS!I3:I11,"Pas OK")+COUNTIF(PCNS!I13:I19,"Pas OK")+COUNTIF(KO!I2:I5,"Pas OK")+COUNTIF(P2R!I2:I61,"Pas OK")</f>
        <v>42</v>
      </c>
      <c r="E32" s="48" t="n">
        <f aca="false">C32+D32</f>
        <v>52</v>
      </c>
      <c r="F32" s="53" t="n">
        <f aca="false">IF(E32&gt;0,C32/E32,0)</f>
        <v>0.192307692307692</v>
      </c>
    </row>
    <row r="33" customFormat="false" ht="14.9" hidden="false" customHeight="false" outlineLevel="0" collapsed="false">
      <c r="B33" s="47" t="s">
        <v>160</v>
      </c>
      <c r="C33" s="49" t="n">
        <f aca="false">COUNTIF('Single 1'!J3:J16,"OK")+COUNTIF('Single 1'!J18:J29,"OK")+COUNTIF('Single 2'!J3:J16,"OK")+COUNTIF('Single 2'!J18:J29,"OK")+COUNTIF(PCNS!J3:J11,"OK")+COUNTIF(PCNS!J13:J19,"OK")+COUNTIF(KO!J2:J5,"OK")+COUNTIF(P2R!J2:J61,"OK")</f>
        <v>10</v>
      </c>
      <c r="D33" s="51" t="n">
        <f aca="false">COUNTIF('Single 1'!J3:J16,"Pas OK")+COUNTIF('Single 1'!J18:J29,"Pas OK")+COUNTIF('Single 2'!J3:J16,"Pas OK")+COUNTIF('Single 2'!J18:J29,"Pas OK")+COUNTIF(PCNS!J3:J11,"Pas OK")+COUNTIF(PCNS!J13:J19,"Pas OK")+COUNTIF(KO!J2:J5,"Pas OK")+COUNTIF(P2R!J2:J61,"Pas OK")</f>
        <v>42</v>
      </c>
      <c r="E33" s="48" t="n">
        <f aca="false">C33+D33</f>
        <v>52</v>
      </c>
      <c r="F33" s="53" t="n">
        <f aca="false">IF(E33&gt;0,C33/E33,0)</f>
        <v>0.192307692307692</v>
      </c>
    </row>
    <row r="34" customFormat="false" ht="14.9" hidden="false" customHeight="false" outlineLevel="0" collapsed="false">
      <c r="B34" s="47" t="s">
        <v>161</v>
      </c>
      <c r="C34" s="49" t="n">
        <f aca="false">COUNTIF('Single 1'!K3:K16,"OK")+COUNTIF('Single 1'!K18:K29,"OK")+COUNTIF('Single 2'!K3:K16,"OK")+COUNTIF('Single 2'!K18:K29,"OK")+COUNTIF(PCNS!K3:K11,"OK")+COUNTIF(PCNS!K13:K19,"OK")+COUNTIF(KO!K2:K5,"OK")+COUNTIF(P2R!K2:K61,"OK")</f>
        <v>0</v>
      </c>
      <c r="D34" s="51" t="n">
        <f aca="false">COUNTIF('Single 1'!K3:K16,"Pas OK")+COUNTIF('Single 1'!K18:K29,"Pas OK")+COUNTIF('Single 2'!K3:K16,"Pas OK")+COUNTIF('Single 2'!K18:K29,"Pas OK")+COUNTIF(PCNS!K3:K11,"Pas OK")+COUNTIF(PCNS!K13:K19,"Pas OK")+COUNTIF(KO!K2:K5,"Pas OK")+COUNTIF(P2R!K2:K61,"Pas OK")</f>
        <v>52</v>
      </c>
      <c r="E34" s="48" t="n">
        <f aca="false">C34+D34+COUNTIF('Single 1'!K3:K16,"Partiel")+COUNTIF('Single 1'!K18:K29,"Partiel")+COUNTIF('Single 2'!K3:K16,"Partiel")+COUNTIF('Single 2'!K18:K29,"Partiel")+COUNTIF(PCNS!K3:K11,"Partiel")+COUNTIF(PCNS!K13:K19,"Partiel")+COUNTIF(KO!K2:K5,"Partiel")+COUNTIF(P2R!K2:K61,"Partiel")</f>
        <v>52</v>
      </c>
      <c r="F34" s="53" t="n">
        <f aca="false">IF(E34&gt;0,C34/E34,0)</f>
        <v>0</v>
      </c>
    </row>
    <row r="35" customFormat="false" ht="14.9" hidden="false" customHeight="false" outlineLevel="0" collapsed="false">
      <c r="B35" s="54" t="s">
        <v>140</v>
      </c>
      <c r="C35" s="55" t="n">
        <f aca="false">SUM(C28:C34)</f>
        <v>228</v>
      </c>
      <c r="D35" s="55" t="n">
        <f aca="false">SUM(D28:D34)</f>
        <v>136</v>
      </c>
      <c r="E35" s="55" t="n">
        <f aca="false">SUM(E28:E34)</f>
        <v>364</v>
      </c>
      <c r="F35" s="56" t="n">
        <f aca="false">IF(E35&gt;0,C35/E35,0)</f>
        <v>0.626373626373626</v>
      </c>
    </row>
    <row r="36" customFormat="false" ht="13.8" hidden="false" customHeight="false" outlineLevel="0" collapsed="false"/>
    <row r="37" s="13" customFormat="true" ht="19.5" hidden="false" customHeight="true" outlineLevel="0" collapsed="false">
      <c r="A37" s="12"/>
      <c r="B37" s="58" t="s">
        <v>162</v>
      </c>
      <c r="C37" s="58"/>
      <c r="D37" s="58"/>
      <c r="E37" s="58"/>
      <c r="F37" s="58"/>
      <c r="G37" s="58"/>
      <c r="H37" s="58"/>
    </row>
    <row r="38" s="13" customFormat="true" ht="25.5" hidden="false" customHeight="true" outlineLevel="0" collapsed="false">
      <c r="A38" s="12"/>
      <c r="B38" s="11" t="s">
        <v>2</v>
      </c>
      <c r="C38" s="11" t="s">
        <v>163</v>
      </c>
      <c r="D38" s="11" t="s">
        <v>164</v>
      </c>
      <c r="E38" s="11" t="s">
        <v>165</v>
      </c>
      <c r="F38" s="11" t="s">
        <v>131</v>
      </c>
      <c r="G38" s="12"/>
      <c r="H38" s="12"/>
    </row>
    <row r="39" customFormat="false" ht="14.9" hidden="false" customHeight="false" outlineLevel="0" collapsed="false">
      <c r="B39" s="47" t="s">
        <v>166</v>
      </c>
      <c r="C39" s="49" t="n">
        <f aca="false">$B$7-D39-E39</f>
        <v>0</v>
      </c>
      <c r="D39" s="57" t="n">
        <f aca="false">COUNTIF('Single 1'!C3:C16,"N/A")+COUNTIF('Single 1'!C18:C29,"N/A")+COUNTIF('Single 2'!C3:C16,"N/A")+COUNTIF('Single 2'!C18:C29,"N/A")+COUNTIF(PCNS!C3:C11,"N/A")+COUNTIF(PCNS!C13:C19,"N/A")+COUNTIF(KO!C2:C5,"N/A")+COUNTIF(P2R!C2:C61,"N/A")</f>
        <v>4</v>
      </c>
      <c r="E39" s="50" t="n">
        <f aca="false">COUNTBLANK('Single 1'!C3:C16)+COUNTBLANK('Single 1'!C18:C29)+COUNTBLANK('Single 2'!C3:C16)+COUNTBLANK('Single 2'!C18:C29)+COUNTBLANK(PCNS!C3:C11)+COUNTBLANK(PCNS!C13:C19)+COUNTBLANK(KO!C2:C5)+COUNTBLANK(P2R!C2:C61)</f>
        <v>128</v>
      </c>
      <c r="F39" s="48" t="n">
        <f aca="false">$B$7</f>
        <v>132</v>
      </c>
    </row>
    <row r="40" customFormat="false" ht="14.9" hidden="false" customHeight="false" outlineLevel="0" collapsed="false">
      <c r="B40" s="47" t="s">
        <v>167</v>
      </c>
      <c r="C40" s="49" t="n">
        <f aca="false">$B$7-D40-E40</f>
        <v>0</v>
      </c>
      <c r="D40" s="57" t="n">
        <f aca="false">COUNTIF('Single 1'!D3:D16,"N/A")+COUNTIF('Single 1'!D18:D29,"N/A")+COUNTIF('Single 2'!D3:D16,"N/A")+COUNTIF('Single 2'!D18:D29,"N/A")+COUNTIF(PCNS!D3:D11,"N/A")+COUNTIF(PCNS!D13:D19,"N/A")+COUNTIF(KO!D2:D5,"N/A")+COUNTIF(P2R!D2:D61,"N/A")</f>
        <v>112</v>
      </c>
      <c r="E40" s="50" t="n">
        <f aca="false">COUNTBLANK('Single 1'!D3:D16)+COUNTBLANK('Single 1'!D18:D29)+COUNTBLANK('Single 2'!D3:D16)+COUNTBLANK('Single 2'!D18:D29)+COUNTBLANK(PCNS!D3:D11)+COUNTBLANK(PCNS!D13:D19)+COUNTBLANK(KO!D2:D5)+COUNTBLANK(P2R!D2:D61)</f>
        <v>20</v>
      </c>
      <c r="F40" s="48" t="n">
        <f aca="false">$B$7</f>
        <v>132</v>
      </c>
    </row>
    <row r="41" customFormat="false" ht="13.8" hidden="false" customHeight="false" outlineLevel="0" collapsed="false"/>
    <row r="42" s="13" customFormat="true" ht="19.5" hidden="false" customHeight="true" outlineLevel="0" collapsed="false">
      <c r="A42" s="12"/>
      <c r="B42" s="58" t="s">
        <v>168</v>
      </c>
      <c r="C42" s="58"/>
      <c r="D42" s="58"/>
      <c r="E42" s="58"/>
      <c r="F42" s="58"/>
      <c r="G42" s="58"/>
      <c r="H42" s="58"/>
    </row>
    <row r="43" customFormat="false" ht="18" hidden="false" customHeight="true" outlineLevel="0" collapsed="false">
      <c r="B43" s="59" t="str">
        <f aca="false">"• Câblage à faire ou en cours : "&amp;(E17+D17)&amp;" station(s) sur "&amp;B7</f>
        <v>• Câblage à faire ou en cours : 11 station(s) sur 132</v>
      </c>
      <c r="C43" s="59"/>
      <c r="D43" s="59"/>
      <c r="E43" s="59"/>
      <c r="F43" s="59"/>
      <c r="G43" s="59"/>
      <c r="H43" s="59"/>
    </row>
    <row r="44" customFormat="false" ht="18" hidden="false" customHeight="true" outlineLevel="0" collapsed="false">
      <c r="B44" s="59" t="str">
        <f aca="false">"• Secure IT - Câble non conforme : "&amp;D32&amp;" sur "&amp;E32&amp;" saisi(s)"</f>
        <v>• Secure IT - Câble non conforme : 42 sur 52 saisi(s)</v>
      </c>
      <c r="C44" s="59"/>
      <c r="D44" s="59"/>
      <c r="E44" s="59"/>
      <c r="F44" s="59"/>
      <c r="G44" s="59"/>
      <c r="H44" s="59"/>
    </row>
    <row r="45" customFormat="false" ht="18" hidden="false" customHeight="true" outlineLevel="0" collapsed="false">
      <c r="B45" s="59" t="str">
        <f aca="false">"• Étiquetage non conforme : "&amp;D34&amp;" sur "&amp;E34&amp;" saisi(s)"</f>
        <v>• Étiquetage non conforme : 52 sur 52 saisi(s)</v>
      </c>
      <c r="C45" s="59"/>
      <c r="D45" s="59"/>
      <c r="E45" s="59"/>
      <c r="F45" s="59"/>
      <c r="G45" s="59"/>
      <c r="H45" s="59"/>
    </row>
    <row r="46" customFormat="false" ht="33.75" hidden="false" customHeight="true" outlineLevel="0" collapsed="false">
      <c r="B46" s="59" t="str">
        <f aca="false">"• Détail des blocages ponctuels (câbles/pads endommagés, pièces manquantes...) : voir colonne «Commentaire» des onglets process."</f>
        <v>• Détail des blocages ponctuels (câbles/pads endommagés, pièces manquantes...) : voir colonne «Commentaire» des onglets process.</v>
      </c>
      <c r="C46" s="59"/>
      <c r="D46" s="59"/>
      <c r="E46" s="59"/>
      <c r="F46" s="59"/>
      <c r="G46" s="59"/>
      <c r="H46" s="59"/>
    </row>
    <row r="47" customFormat="false" ht="13.8" hidden="false" customHeight="false" outlineLevel="0" collapsed="false"/>
    <row r="48" s="13" customFormat="true" ht="19.5" hidden="false" customHeight="true" outlineLevel="0" collapsed="false">
      <c r="A48" s="12"/>
      <c r="B48" s="58" t="s">
        <v>169</v>
      </c>
      <c r="C48" s="58"/>
      <c r="D48" s="58"/>
      <c r="E48" s="58"/>
      <c r="F48" s="58"/>
      <c r="G48" s="58"/>
      <c r="H48" s="58"/>
    </row>
    <row r="49" s="13" customFormat="true" ht="25.5" hidden="false" customHeight="true" outlineLevel="0" collapsed="false">
      <c r="A49" s="12"/>
      <c r="B49" s="11" t="s">
        <v>102</v>
      </c>
      <c r="C49" s="60" t="s">
        <v>103</v>
      </c>
      <c r="D49" s="60"/>
      <c r="E49" s="11"/>
      <c r="F49" s="12"/>
      <c r="G49" s="12"/>
      <c r="H49" s="12"/>
    </row>
    <row r="50" customFormat="false" ht="14.9" hidden="false" customHeight="false" outlineLevel="0" collapsed="false">
      <c r="B50" s="47" t="s">
        <v>170</v>
      </c>
      <c r="C50" s="61" t="str">
        <f aca="false">'Planning - Calendrier'!B6</f>
        <v>2 stations/jour</v>
      </c>
      <c r="D50" s="61"/>
    </row>
    <row r="51" customFormat="false" ht="28.35" hidden="false" customHeight="false" outlineLevel="0" collapsed="false">
      <c r="B51" s="47" t="s">
        <v>171</v>
      </c>
      <c r="C51" s="61" t="n">
        <f aca="false">'Planning - Calendrier'!B27</f>
        <v>199</v>
      </c>
      <c r="D51" s="61"/>
    </row>
    <row r="52" customFormat="false" ht="28.35" hidden="false" customHeight="false" outlineLevel="0" collapsed="false">
      <c r="B52" s="47" t="s">
        <v>172</v>
      </c>
      <c r="C52" s="61" t="n">
        <f aca="false">132</f>
        <v>132</v>
      </c>
      <c r="D52" s="61"/>
    </row>
    <row r="53" customFormat="false" ht="28.35" hidden="false" customHeight="false" outlineLevel="0" collapsed="false">
      <c r="B53" s="47" t="s">
        <v>173</v>
      </c>
      <c r="C53" s="62" t="n">
        <f aca="false">132/'Planning - Calendrier'!B27</f>
        <v>0.663316582914573</v>
      </c>
      <c r="D53" s="62"/>
    </row>
    <row r="54" customFormat="false" ht="28.35" hidden="false" customHeight="false" outlineLevel="0" collapsed="false">
      <c r="B54" s="47" t="s">
        <v>174</v>
      </c>
      <c r="C54" s="63" t="n">
        <f aca="false">'Planning - Calendrier'!E34</f>
        <v>46402</v>
      </c>
      <c r="D54" s="63"/>
    </row>
    <row r="55" customFormat="false" ht="28.35" hidden="false" customHeight="false" outlineLevel="0" collapsed="false">
      <c r="B55" s="47" t="s">
        <v>175</v>
      </c>
      <c r="C55" s="63" t="n">
        <f aca="false">'Planning - Calendrier'!E35</f>
        <v>46351</v>
      </c>
      <c r="D55" s="63"/>
    </row>
    <row r="56" customFormat="false" ht="13.8" hidden="false" customHeight="false" outlineLevel="0" collapsed="false"/>
    <row r="57" customFormat="false" ht="30" hidden="false" customHeight="true" outlineLevel="0" collapsed="false">
      <c r="B57" s="39" t="s">
        <v>176</v>
      </c>
      <c r="C57" s="39"/>
      <c r="D57" s="39"/>
      <c r="E57" s="39"/>
      <c r="F57" s="39"/>
      <c r="G57" s="39"/>
      <c r="H57" s="39"/>
    </row>
  </sheetData>
  <mergeCells count="21">
    <mergeCell ref="B2:H2"/>
    <mergeCell ref="B3:H3"/>
    <mergeCell ref="B5:H5"/>
    <mergeCell ref="B9:H9"/>
    <mergeCell ref="B19:H19"/>
    <mergeCell ref="B26:H26"/>
    <mergeCell ref="B37:H37"/>
    <mergeCell ref="B42:H42"/>
    <mergeCell ref="B43:H43"/>
    <mergeCell ref="B44:H44"/>
    <mergeCell ref="B45:H45"/>
    <mergeCell ref="B46:H46"/>
    <mergeCell ref="B48:H48"/>
    <mergeCell ref="C49:D49"/>
    <mergeCell ref="C50:D50"/>
    <mergeCell ref="C51:D51"/>
    <mergeCell ref="C52:D52"/>
    <mergeCell ref="C53:D53"/>
    <mergeCell ref="C54:D54"/>
    <mergeCell ref="C55:D55"/>
    <mergeCell ref="B57:H57"/>
  </mergeCells>
  <conditionalFormatting sqref="G12:G17">
    <cfRule type="dataBar" priority="2">
      <dataBar showValue="1" minLength="10" maxLength="90">
        <cfvo type="num" val="0"/>
        <cfvo type="num" val="1"/>
        <color rgb="FF34A853"/>
      </dataBar>
      <extLst>
        <ext xmlns:x14="http://schemas.microsoft.com/office/spreadsheetml/2009/9/main" uri="{B025F937-C7B1-47D3-B67F-A62EFF666E3E}">
          <x14:id>{D5F080BA-1BE3-4D2C-AC50-807312C35EC9}</x14:id>
        </ext>
      </extLst>
    </cfRule>
  </conditionalFormatting>
  <conditionalFormatting sqref="G11">
    <cfRule type="dataBar" priority="3">
      <dataBar showValue="1" minLength="10" maxLength="90">
        <cfvo type="num" val="0"/>
        <cfvo type="num" val="1"/>
        <color rgb="FF34A853"/>
      </dataBar>
      <extLst>
        <ext xmlns:x14="http://schemas.microsoft.com/office/spreadsheetml/2009/9/main" uri="{B025F937-C7B1-47D3-B67F-A62EFF666E3E}">
          <x14:id>{CB7643C0-FA74-4050-8B8F-775053ED9078}</x14:id>
        </ext>
      </extLst>
    </cfRule>
  </conditionalFormatting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F080BA-1BE3-4D2C-AC50-807312C35EC9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G12:G17</xm:sqref>
        </x14:conditionalFormatting>
        <x14:conditionalFormatting xmlns:xm="http://schemas.microsoft.com/office/excel/2006/main">
          <x14:cfRule type="dataBar" id="{CB7643C0-FA74-4050-8B8F-775053ED9078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G63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I51" activeCellId="1" sqref="38:38 I51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3.7"/>
    <col collapsed="false" customWidth="true" hidden="false" outlineLevel="0" max="2" min="2" style="1" width="20"/>
    <col collapsed="false" customWidth="true" hidden="false" outlineLevel="0" max="6" min="3" style="1" width="11"/>
    <col collapsed="false" customWidth="true" hidden="false" outlineLevel="0" max="7" min="7" style="1" width="13"/>
  </cols>
  <sheetData>
    <row r="1" customFormat="false" ht="13.8" hidden="false" customHeight="false" outlineLevel="0" collapsed="false"/>
    <row r="2" customFormat="false" ht="25.5" hidden="false" customHeight="true" outlineLevel="0" collapsed="false">
      <c r="B2" s="64" t="s">
        <v>177</v>
      </c>
      <c r="C2" s="64"/>
      <c r="D2" s="64"/>
      <c r="E2" s="64"/>
      <c r="F2" s="64"/>
      <c r="G2" s="64"/>
    </row>
    <row r="3" customFormat="false" ht="28.35" hidden="false" customHeight="true" outlineLevel="0" collapsed="false">
      <c r="B3" s="39" t="s">
        <v>178</v>
      </c>
      <c r="C3" s="39"/>
      <c r="D3" s="39"/>
      <c r="E3" s="39"/>
      <c r="F3" s="39"/>
      <c r="G3" s="39"/>
    </row>
    <row r="4" customFormat="false" ht="13.8" hidden="false" customHeight="false" outlineLevel="0" collapsed="false"/>
    <row r="5" customFormat="false" ht="19.5" hidden="false" customHeight="true" outlineLevel="0" collapsed="false">
      <c r="B5" s="40" t="s">
        <v>179</v>
      </c>
      <c r="C5" s="40"/>
      <c r="D5" s="40"/>
      <c r="E5" s="40"/>
      <c r="F5" s="40"/>
      <c r="G5" s="40"/>
    </row>
    <row r="6" customFormat="false" ht="24" hidden="false" customHeight="true" outlineLevel="0" collapsed="false">
      <c r="B6" s="41" t="s">
        <v>38</v>
      </c>
      <c r="C6" s="41" t="s">
        <v>138</v>
      </c>
      <c r="D6" s="41" t="s">
        <v>180</v>
      </c>
      <c r="E6" s="41" t="s">
        <v>133</v>
      </c>
      <c r="F6" s="41" t="s">
        <v>134</v>
      </c>
      <c r="G6" s="41" t="s">
        <v>181</v>
      </c>
    </row>
    <row r="7" customFormat="false" ht="14.9" hidden="false" customHeight="false" outlineLevel="0" collapsed="false">
      <c r="B7" s="14" t="s">
        <v>69</v>
      </c>
      <c r="C7" s="48" t="n">
        <v>26</v>
      </c>
      <c r="D7" s="49" t="n">
        <f aca="false">COUNTIF('Single 1'!L3:L16,"Fait")+COUNTIF('Single 1'!L18:L29,"Fait")</f>
        <v>4</v>
      </c>
      <c r="E7" s="50" t="n">
        <f aca="false">COUNTIF('Single 1'!L3:L16,"En cours")+COUNTIF('Single 1'!L18:L29,"En cours")</f>
        <v>1</v>
      </c>
      <c r="F7" s="51" t="n">
        <f aca="false">COUNTIF('Single 1'!L3:L16,"A faire")+COUNTIF('Single 1'!L18:L29,"A faire")</f>
        <v>21</v>
      </c>
      <c r="G7" s="53" t="n">
        <f aca="false">D7/C7</f>
        <v>0.153846153846154</v>
      </c>
    </row>
    <row r="8" customFormat="false" ht="14.9" hidden="false" customHeight="false" outlineLevel="0" collapsed="false">
      <c r="B8" s="14" t="s">
        <v>70</v>
      </c>
      <c r="C8" s="48" t="n">
        <v>26</v>
      </c>
      <c r="D8" s="49" t="n">
        <f aca="false">COUNTIF('Single 2'!L3:L16,"Fait")+COUNTIF('Single 2'!L18:L29,"Fait")</f>
        <v>6</v>
      </c>
      <c r="E8" s="50" t="n">
        <f aca="false">COUNTIF('Single 2'!L3:L16,"En cours")+COUNTIF('Single 2'!L18:L29,"En cours")</f>
        <v>0</v>
      </c>
      <c r="F8" s="51" t="n">
        <f aca="false">COUNTIF('Single 2'!L3:L16,"A faire")+COUNTIF('Single 2'!L18:L29,"A faire")</f>
        <v>20</v>
      </c>
      <c r="G8" s="53" t="n">
        <f aca="false">D8/C8</f>
        <v>0.230769230769231</v>
      </c>
    </row>
    <row r="9" customFormat="false" ht="14.9" hidden="false" customHeight="false" outlineLevel="0" collapsed="false">
      <c r="B9" s="14" t="s">
        <v>71</v>
      </c>
      <c r="C9" s="48" t="n">
        <v>9</v>
      </c>
      <c r="D9" s="49" t="n">
        <f aca="false">COUNTIF(PCNS!L3:L11,"Fait")</f>
        <v>0</v>
      </c>
      <c r="E9" s="50" t="n">
        <f aca="false">COUNTIF(PCNS!L3:L11,"En cours")</f>
        <v>0</v>
      </c>
      <c r="F9" s="51" t="n">
        <f aca="false">COUNTIF(PCNS!L3:L11,"A faire")</f>
        <v>9</v>
      </c>
      <c r="G9" s="53" t="n">
        <f aca="false">D9/C9</f>
        <v>0</v>
      </c>
    </row>
    <row r="10" customFormat="false" ht="14.9" hidden="false" customHeight="false" outlineLevel="0" collapsed="false">
      <c r="B10" s="14" t="s">
        <v>72</v>
      </c>
      <c r="C10" s="48" t="n">
        <v>7</v>
      </c>
      <c r="D10" s="49" t="n">
        <f aca="false">COUNTIF(PCNS!L13:L19,"Fait")</f>
        <v>0</v>
      </c>
      <c r="E10" s="50" t="n">
        <f aca="false">COUNTIF(PCNS!L13:L19,"En cours")</f>
        <v>0</v>
      </c>
      <c r="F10" s="51" t="n">
        <f aca="false">COUNTIF(PCNS!L13:L19,"A faire")</f>
        <v>7</v>
      </c>
      <c r="G10" s="53" t="n">
        <f aca="false">D10/C10</f>
        <v>0</v>
      </c>
    </row>
    <row r="11" customFormat="false" ht="14.9" hidden="false" customHeight="false" outlineLevel="0" collapsed="false">
      <c r="B11" s="14" t="s">
        <v>50</v>
      </c>
      <c r="C11" s="48" t="n">
        <v>4</v>
      </c>
      <c r="D11" s="49" t="n">
        <f aca="false">COUNTIF(KO!L2:L5,"Fait")</f>
        <v>0</v>
      </c>
      <c r="E11" s="50" t="n">
        <f aca="false">COUNTIF(KO!L2:L5,"En cours")</f>
        <v>0</v>
      </c>
      <c r="F11" s="51" t="n">
        <f aca="false">COUNTIF(KO!L2:L5,"A faire")</f>
        <v>4</v>
      </c>
      <c r="G11" s="53" t="n">
        <f aca="false">D11/C11</f>
        <v>0</v>
      </c>
    </row>
    <row r="12" customFormat="false" ht="14.9" hidden="false" customHeight="false" outlineLevel="0" collapsed="false">
      <c r="B12" s="14" t="s">
        <v>53</v>
      </c>
      <c r="C12" s="48" t="n">
        <v>60</v>
      </c>
      <c r="D12" s="49" t="n">
        <f aca="false">COUNTIF(P2R!L2:L61,"Fait")</f>
        <v>0</v>
      </c>
      <c r="E12" s="50" t="n">
        <f aca="false">COUNTIF(P2R!L2:L61,"En cours")</f>
        <v>0</v>
      </c>
      <c r="F12" s="51" t="n">
        <f aca="false">COUNTIF(P2R!L2:L61,"A faire")</f>
        <v>60</v>
      </c>
      <c r="G12" s="53" t="n">
        <f aca="false">D12/C12</f>
        <v>0</v>
      </c>
    </row>
    <row r="13" customFormat="false" ht="14.9" hidden="false" customHeight="false" outlineLevel="0" collapsed="false">
      <c r="B13" s="54" t="s">
        <v>182</v>
      </c>
      <c r="C13" s="55" t="n">
        <f aca="false">SUM(C7:C12)</f>
        <v>132</v>
      </c>
      <c r="D13" s="55" t="n">
        <f aca="false">SUM(D7:D12)</f>
        <v>10</v>
      </c>
      <c r="E13" s="55" t="n">
        <f aca="false">SUM(E7:E12)</f>
        <v>1</v>
      </c>
      <c r="F13" s="55" t="n">
        <f aca="false">SUM(F7:F12)</f>
        <v>121</v>
      </c>
      <c r="G13" s="56" t="n">
        <f aca="false">D13/C13</f>
        <v>0.0757575757575758</v>
      </c>
    </row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9.5" hidden="false" customHeight="true" outlineLevel="0" collapsed="false">
      <c r="B35" s="40" t="s">
        <v>183</v>
      </c>
      <c r="C35" s="40"/>
      <c r="D35" s="40"/>
      <c r="E35" s="40"/>
      <c r="F35" s="40"/>
      <c r="G35" s="40"/>
    </row>
    <row r="36" customFormat="false" ht="24" hidden="false" customHeight="true" outlineLevel="0" collapsed="false">
      <c r="B36" s="41" t="s">
        <v>142</v>
      </c>
      <c r="C36" s="65" t="s">
        <v>184</v>
      </c>
      <c r="D36" s="65"/>
      <c r="E36" s="65"/>
      <c r="F36" s="65"/>
      <c r="G36" s="65"/>
    </row>
    <row r="37" customFormat="false" ht="14.9" hidden="false" customHeight="false" outlineLevel="0" collapsed="false">
      <c r="B37" s="47" t="s">
        <v>180</v>
      </c>
      <c r="C37" s="49" t="n">
        <f aca="false">D13</f>
        <v>10</v>
      </c>
    </row>
    <row r="38" customFormat="false" ht="14.9" hidden="false" customHeight="false" outlineLevel="0" collapsed="false">
      <c r="B38" s="47" t="s">
        <v>133</v>
      </c>
      <c r="C38" s="50" t="n">
        <f aca="false">E13</f>
        <v>1</v>
      </c>
    </row>
    <row r="39" customFormat="false" ht="28.35" hidden="false" customHeight="false" outlineLevel="0" collapsed="false">
      <c r="B39" s="47" t="s">
        <v>185</v>
      </c>
      <c r="C39" s="51" t="n">
        <f aca="false">F13</f>
        <v>121</v>
      </c>
    </row>
    <row r="40" customFormat="false" ht="28.35" hidden="false" customHeight="false" outlineLevel="0" collapsed="false">
      <c r="B40" s="47" t="s">
        <v>186</v>
      </c>
      <c r="C40" s="57" t="n">
        <f aca="false">'Planning - Calendrier'!B27-C13</f>
        <v>67</v>
      </c>
    </row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</sheetData>
  <mergeCells count="5">
    <mergeCell ref="B2:G2"/>
    <mergeCell ref="B3:G3"/>
    <mergeCell ref="B5:G5"/>
    <mergeCell ref="B35:G35"/>
    <mergeCell ref="C36:G36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8" activeCellId="1" sqref="38:38 C18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3.7"/>
    <col collapsed="false" customWidth="true" hidden="false" outlineLevel="0" max="2" min="2" style="1" width="22"/>
    <col collapsed="false" customWidth="true" hidden="false" outlineLevel="0" max="8" min="3" style="1" width="14"/>
  </cols>
  <sheetData>
    <row r="1" customFormat="false" ht="13.8" hidden="false" customHeight="false" outlineLevel="0" collapsed="false"/>
    <row r="2" customFormat="false" ht="17.35" hidden="false" customHeight="false" outlineLevel="0" collapsed="false">
      <c r="B2" s="64" t="s">
        <v>187</v>
      </c>
      <c r="C2" s="64"/>
      <c r="D2" s="64"/>
      <c r="E2" s="64"/>
      <c r="F2" s="64"/>
      <c r="G2" s="64"/>
      <c r="H2" s="64"/>
    </row>
    <row r="3" customFormat="false" ht="13.8" hidden="false" customHeight="false" outlineLevel="0" collapsed="false"/>
    <row r="4" customFormat="false" ht="13.8" hidden="false" customHeight="false" outlineLevel="0" collapsed="false">
      <c r="B4" s="40" t="s">
        <v>188</v>
      </c>
      <c r="C4" s="40"/>
      <c r="D4" s="40"/>
      <c r="E4" s="40"/>
      <c r="F4" s="40"/>
      <c r="G4" s="40"/>
      <c r="H4" s="40"/>
    </row>
    <row r="5" customFormat="false" ht="28.35" hidden="false" customHeight="false" outlineLevel="0" collapsed="false">
      <c r="B5" s="41" t="s">
        <v>38</v>
      </c>
      <c r="C5" s="41" t="s">
        <v>189</v>
      </c>
      <c r="D5" s="41" t="s">
        <v>190</v>
      </c>
    </row>
    <row r="6" customFormat="false" ht="14.9" hidden="false" customHeight="false" outlineLevel="0" collapsed="false">
      <c r="B6" s="66" t="s">
        <v>69</v>
      </c>
      <c r="C6" s="67" t="n">
        <f aca="false">SUM('Single 1'!O3:O16,'Single 1'!O18:O29)</f>
        <v>3310</v>
      </c>
      <c r="D6" s="67" t="n">
        <f aca="false">C6/60</f>
        <v>55.1666666666667</v>
      </c>
    </row>
    <row r="7" customFormat="false" ht="14.9" hidden="false" customHeight="false" outlineLevel="0" collapsed="false">
      <c r="B7" s="66" t="s">
        <v>70</v>
      </c>
      <c r="C7" s="67" t="n">
        <f aca="false">SUM('Single 2'!O3:O16,'Single 2'!O18:O29)</f>
        <v>3105</v>
      </c>
      <c r="D7" s="67" t="n">
        <f aca="false">C7/60</f>
        <v>51.75</v>
      </c>
    </row>
    <row r="8" customFormat="false" ht="14.9" hidden="false" customHeight="false" outlineLevel="0" collapsed="false">
      <c r="B8" s="66" t="s">
        <v>71</v>
      </c>
      <c r="C8" s="67" t="n">
        <f aca="false">SUM(PCNS!O3:O11)</f>
        <v>1350</v>
      </c>
      <c r="D8" s="67" t="n">
        <f aca="false">C8/60</f>
        <v>22.5</v>
      </c>
    </row>
    <row r="9" customFormat="false" ht="14.9" hidden="false" customHeight="false" outlineLevel="0" collapsed="false">
      <c r="B9" s="66" t="s">
        <v>72</v>
      </c>
      <c r="C9" s="67" t="n">
        <f aca="false">SUM(PCNS!O13:O19)</f>
        <v>1050</v>
      </c>
      <c r="D9" s="67" t="n">
        <f aca="false">C9/60</f>
        <v>17.5</v>
      </c>
    </row>
    <row r="10" customFormat="false" ht="14.9" hidden="false" customHeight="false" outlineLevel="0" collapsed="false">
      <c r="B10" s="66" t="s">
        <v>50</v>
      </c>
      <c r="C10" s="67" t="n">
        <f aca="false">SUM(KO!O2:O5)</f>
        <v>720</v>
      </c>
      <c r="D10" s="67" t="n">
        <f aca="false">C10/60</f>
        <v>12</v>
      </c>
    </row>
    <row r="11" customFormat="false" ht="14.9" hidden="false" customHeight="false" outlineLevel="0" collapsed="false">
      <c r="B11" s="66" t="s">
        <v>53</v>
      </c>
      <c r="C11" s="67" t="n">
        <f aca="false">SUM(P2R!O2:O61)</f>
        <v>5400</v>
      </c>
      <c r="D11" s="67" t="n">
        <f aca="false">C11/60</f>
        <v>90</v>
      </c>
    </row>
    <row r="12" customFormat="false" ht="13.8" hidden="false" customHeight="false" outlineLevel="0" collapsed="false">
      <c r="B12" s="68" t="s">
        <v>140</v>
      </c>
      <c r="C12" s="68" t="n">
        <f aca="false">SUM(C6:C11)</f>
        <v>14935</v>
      </c>
      <c r="D12" s="68" t="n">
        <f aca="false">C12/60</f>
        <v>248.916666666667</v>
      </c>
    </row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>
      <c r="B15" s="40" t="s">
        <v>191</v>
      </c>
      <c r="C15" s="40"/>
      <c r="D15" s="40"/>
      <c r="E15" s="40"/>
      <c r="F15" s="40"/>
      <c r="G15" s="40"/>
      <c r="H15" s="40"/>
    </row>
    <row r="16" customFormat="false" ht="41.75" hidden="false" customHeight="false" outlineLevel="0" collapsed="false">
      <c r="B16" s="68" t="s">
        <v>192</v>
      </c>
      <c r="C16" s="41" t="s">
        <v>193</v>
      </c>
      <c r="D16" s="41" t="s">
        <v>194</v>
      </c>
      <c r="E16" s="41" t="s">
        <v>195</v>
      </c>
      <c r="F16" s="41" t="s">
        <v>196</v>
      </c>
      <c r="G16" s="41" t="s">
        <v>197</v>
      </c>
      <c r="H16" s="41" t="s">
        <v>198</v>
      </c>
      <c r="I16" s="41" t="s">
        <v>199</v>
      </c>
    </row>
    <row r="17" customFormat="false" ht="14.9" hidden="false" customHeight="false" outlineLevel="0" collapsed="false">
      <c r="B17" s="69" t="s">
        <v>200</v>
      </c>
      <c r="C17" s="67" t="n">
        <v>40</v>
      </c>
      <c r="D17" s="67" t="n">
        <v>10</v>
      </c>
      <c r="E17" s="67" t="n">
        <v>5</v>
      </c>
      <c r="F17" s="67" t="n">
        <v>5</v>
      </c>
      <c r="G17" s="67" t="n">
        <v>120</v>
      </c>
      <c r="H17" s="67" t="n">
        <v>5</v>
      </c>
      <c r="I17" s="67" t="n">
        <v>5</v>
      </c>
    </row>
  </sheetData>
  <mergeCells count="3">
    <mergeCell ref="B2:H2"/>
    <mergeCell ref="B4:H4"/>
    <mergeCell ref="B15:H15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9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pane xSplit="0" ySplit="1" topLeftCell="A2" activePane="bottomLeft" state="frozen"/>
      <selection pane="topLeft" activeCell="B1" activeCellId="0" sqref="B1"/>
      <selection pane="bottomLeft" activeCell="L8" activeCellId="1" sqref="38:38 L8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1"/>
    <col collapsed="false" customWidth="true" hidden="false" outlineLevel="0" max="4" min="3" style="1" width="15"/>
    <col collapsed="false" customWidth="true" hidden="false" outlineLevel="0" max="12" min="5" style="1" width="13"/>
    <col collapsed="false" customWidth="true" hidden="false" outlineLevel="0" max="13" min="13" style="1" width="32"/>
    <col collapsed="false" customWidth="true" hidden="false" outlineLevel="0" max="14" min="14" style="1" width="38"/>
    <col collapsed="false" customWidth="true" hidden="false" outlineLevel="0" max="15" min="15" style="1" width="14"/>
  </cols>
  <sheetData>
    <row r="1" customFormat="false" ht="31.5" hidden="false" customHeight="true" outlineLevel="0" collapsed="false">
      <c r="A1" s="70" t="s">
        <v>201</v>
      </c>
      <c r="B1" s="70" t="s">
        <v>202</v>
      </c>
      <c r="C1" s="70" t="s">
        <v>166</v>
      </c>
      <c r="D1" s="70" t="s">
        <v>167</v>
      </c>
      <c r="E1" s="70" t="s">
        <v>155</v>
      </c>
      <c r="F1" s="70" t="s">
        <v>156</v>
      </c>
      <c r="G1" s="70" t="s">
        <v>157</v>
      </c>
      <c r="H1" s="70" t="s">
        <v>158</v>
      </c>
      <c r="I1" s="70" t="s">
        <v>159</v>
      </c>
      <c r="J1" s="70" t="s">
        <v>160</v>
      </c>
      <c r="K1" s="70" t="s">
        <v>161</v>
      </c>
      <c r="L1" s="70" t="s">
        <v>203</v>
      </c>
      <c r="M1" s="70" t="s">
        <v>204</v>
      </c>
      <c r="N1" s="70" t="s">
        <v>205</v>
      </c>
      <c r="O1" s="70" t="s">
        <v>206</v>
      </c>
    </row>
    <row r="2" customFormat="false" ht="19.5" hidden="false" customHeight="true" outlineLevel="0" collapsed="false">
      <c r="A2" s="71" t="s">
        <v>207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</row>
    <row r="3" customFormat="false" ht="18" hidden="false" customHeight="true" outlineLevel="0" collapsed="false">
      <c r="A3" s="47" t="s">
        <v>208</v>
      </c>
      <c r="B3" s="8" t="s">
        <v>209</v>
      </c>
      <c r="C3" s="72"/>
      <c r="D3" s="8" t="s">
        <v>210</v>
      </c>
      <c r="E3" s="8" t="s">
        <v>151</v>
      </c>
      <c r="F3" s="8" t="s">
        <v>151</v>
      </c>
      <c r="G3" s="8" t="s">
        <v>151</v>
      </c>
      <c r="H3" s="8" t="s">
        <v>151</v>
      </c>
      <c r="I3" s="8" t="s">
        <v>152</v>
      </c>
      <c r="J3" s="8" t="s">
        <v>152</v>
      </c>
      <c r="K3" s="8" t="s">
        <v>152</v>
      </c>
      <c r="L3" s="8" t="s">
        <v>211</v>
      </c>
      <c r="M3" s="73"/>
      <c r="N3" s="73"/>
      <c r="O3" s="67" t="n">
        <v>130</v>
      </c>
    </row>
    <row r="4" customFormat="false" ht="18" hidden="false" customHeight="true" outlineLevel="0" collapsed="false">
      <c r="A4" s="47" t="s">
        <v>212</v>
      </c>
      <c r="B4" s="8" t="s">
        <v>209</v>
      </c>
      <c r="C4" s="72"/>
      <c r="D4" s="8" t="s">
        <v>210</v>
      </c>
      <c r="E4" s="8" t="s">
        <v>151</v>
      </c>
      <c r="F4" s="8" t="s">
        <v>151</v>
      </c>
      <c r="G4" s="8" t="s">
        <v>151</v>
      </c>
      <c r="H4" s="8" t="s">
        <v>151</v>
      </c>
      <c r="I4" s="8" t="s">
        <v>152</v>
      </c>
      <c r="J4" s="8" t="s">
        <v>152</v>
      </c>
      <c r="K4" s="8" t="s">
        <v>152</v>
      </c>
      <c r="L4" s="8" t="s">
        <v>133</v>
      </c>
      <c r="M4" s="73"/>
      <c r="N4" s="73"/>
      <c r="O4" s="67" t="n">
        <v>130</v>
      </c>
    </row>
    <row r="5" customFormat="false" ht="18" hidden="false" customHeight="true" outlineLevel="0" collapsed="false">
      <c r="A5" s="47" t="s">
        <v>213</v>
      </c>
      <c r="B5" s="8" t="s">
        <v>209</v>
      </c>
      <c r="C5" s="72"/>
      <c r="D5" s="8" t="s">
        <v>210</v>
      </c>
      <c r="E5" s="8" t="s">
        <v>151</v>
      </c>
      <c r="F5" s="8" t="s">
        <v>151</v>
      </c>
      <c r="G5" s="8" t="s">
        <v>151</v>
      </c>
      <c r="H5" s="8" t="s">
        <v>151</v>
      </c>
      <c r="I5" s="8" t="s">
        <v>152</v>
      </c>
      <c r="J5" s="8" t="s">
        <v>152</v>
      </c>
      <c r="K5" s="8" t="s">
        <v>152</v>
      </c>
      <c r="L5" s="8" t="s">
        <v>211</v>
      </c>
      <c r="M5" s="73"/>
      <c r="N5" s="73"/>
      <c r="O5" s="67" t="n">
        <v>130</v>
      </c>
    </row>
    <row r="6" customFormat="false" ht="18" hidden="false" customHeight="true" outlineLevel="0" collapsed="false">
      <c r="A6" s="47" t="s">
        <v>214</v>
      </c>
      <c r="B6" s="8" t="s">
        <v>209</v>
      </c>
      <c r="C6" s="72"/>
      <c r="D6" s="8" t="s">
        <v>210</v>
      </c>
      <c r="E6" s="8" t="s">
        <v>151</v>
      </c>
      <c r="F6" s="8" t="s">
        <v>151</v>
      </c>
      <c r="G6" s="8" t="s">
        <v>151</v>
      </c>
      <c r="H6" s="8" t="s">
        <v>151</v>
      </c>
      <c r="I6" s="8" t="s">
        <v>152</v>
      </c>
      <c r="J6" s="8" t="s">
        <v>152</v>
      </c>
      <c r="K6" s="8" t="s">
        <v>152</v>
      </c>
      <c r="L6" s="8" t="s">
        <v>211</v>
      </c>
      <c r="M6" s="73"/>
      <c r="N6" s="73"/>
      <c r="O6" s="67" t="n">
        <v>130</v>
      </c>
    </row>
    <row r="7" customFormat="false" ht="18" hidden="false" customHeight="true" outlineLevel="0" collapsed="false">
      <c r="A7" s="47" t="s">
        <v>215</v>
      </c>
      <c r="B7" s="8" t="s">
        <v>209</v>
      </c>
      <c r="C7" s="72"/>
      <c r="D7" s="8" t="s">
        <v>210</v>
      </c>
      <c r="E7" s="8" t="s">
        <v>151</v>
      </c>
      <c r="F7" s="8" t="s">
        <v>151</v>
      </c>
      <c r="G7" s="8" t="s">
        <v>151</v>
      </c>
      <c r="H7" s="8" t="s">
        <v>151</v>
      </c>
      <c r="I7" s="8" t="s">
        <v>152</v>
      </c>
      <c r="J7" s="8" t="s">
        <v>152</v>
      </c>
      <c r="K7" s="8" t="s">
        <v>152</v>
      </c>
      <c r="L7" s="8" t="s">
        <v>211</v>
      </c>
      <c r="M7" s="73"/>
      <c r="N7" s="73"/>
      <c r="O7" s="67" t="n">
        <v>130</v>
      </c>
    </row>
    <row r="8" customFormat="false" ht="18" hidden="false" customHeight="true" outlineLevel="0" collapsed="false">
      <c r="A8" s="47" t="s">
        <v>216</v>
      </c>
      <c r="B8" s="8" t="s">
        <v>209</v>
      </c>
      <c r="C8" s="72"/>
      <c r="D8" s="8" t="s">
        <v>210</v>
      </c>
      <c r="E8" s="8" t="s">
        <v>151</v>
      </c>
      <c r="F8" s="8" t="s">
        <v>151</v>
      </c>
      <c r="G8" s="8" t="s">
        <v>151</v>
      </c>
      <c r="H8" s="8" t="s">
        <v>151</v>
      </c>
      <c r="I8" s="8" t="s">
        <v>152</v>
      </c>
      <c r="J8" s="8" t="s">
        <v>152</v>
      </c>
      <c r="K8" s="8" t="s">
        <v>152</v>
      </c>
      <c r="L8" s="8" t="s">
        <v>211</v>
      </c>
      <c r="M8" s="73"/>
      <c r="N8" s="73"/>
      <c r="O8" s="67" t="n">
        <v>130</v>
      </c>
    </row>
    <row r="9" customFormat="false" ht="18" hidden="false" customHeight="true" outlineLevel="0" collapsed="false">
      <c r="A9" s="47" t="s">
        <v>217</v>
      </c>
      <c r="B9" s="8" t="s">
        <v>209</v>
      </c>
      <c r="C9" s="72"/>
      <c r="D9" s="8" t="s">
        <v>210</v>
      </c>
      <c r="E9" s="8" t="s">
        <v>151</v>
      </c>
      <c r="F9" s="8" t="s">
        <v>151</v>
      </c>
      <c r="G9" s="8" t="s">
        <v>151</v>
      </c>
      <c r="H9" s="8" t="s">
        <v>151</v>
      </c>
      <c r="I9" s="8" t="s">
        <v>152</v>
      </c>
      <c r="J9" s="8" t="s">
        <v>152</v>
      </c>
      <c r="K9" s="8" t="s">
        <v>152</v>
      </c>
      <c r="L9" s="8" t="s">
        <v>211</v>
      </c>
      <c r="M9" s="73"/>
      <c r="N9" s="73"/>
      <c r="O9" s="67" t="n">
        <v>130</v>
      </c>
    </row>
    <row r="10" customFormat="false" ht="18" hidden="false" customHeight="true" outlineLevel="0" collapsed="false">
      <c r="A10" s="47" t="s">
        <v>218</v>
      </c>
      <c r="B10" s="8" t="s">
        <v>209</v>
      </c>
      <c r="C10" s="72"/>
      <c r="D10" s="8" t="s">
        <v>210</v>
      </c>
      <c r="E10" s="8" t="s">
        <v>151</v>
      </c>
      <c r="F10" s="8" t="s">
        <v>151</v>
      </c>
      <c r="G10" s="8" t="s">
        <v>151</v>
      </c>
      <c r="H10" s="8" t="s">
        <v>151</v>
      </c>
      <c r="I10" s="8" t="s">
        <v>152</v>
      </c>
      <c r="J10" s="8" t="s">
        <v>152</v>
      </c>
      <c r="K10" s="8" t="s">
        <v>152</v>
      </c>
      <c r="L10" s="8" t="s">
        <v>211</v>
      </c>
      <c r="M10" s="73"/>
      <c r="N10" s="73"/>
      <c r="O10" s="67" t="n">
        <v>130</v>
      </c>
    </row>
    <row r="11" customFormat="false" ht="18" hidden="false" customHeight="true" outlineLevel="0" collapsed="false">
      <c r="A11" s="47" t="s">
        <v>219</v>
      </c>
      <c r="B11" s="8" t="s">
        <v>209</v>
      </c>
      <c r="C11" s="72"/>
      <c r="D11" s="8" t="s">
        <v>210</v>
      </c>
      <c r="E11" s="8" t="s">
        <v>151</v>
      </c>
      <c r="F11" s="8" t="s">
        <v>151</v>
      </c>
      <c r="G11" s="8" t="s">
        <v>151</v>
      </c>
      <c r="H11" s="8" t="s">
        <v>151</v>
      </c>
      <c r="I11" s="8" t="s">
        <v>152</v>
      </c>
      <c r="J11" s="8" t="s">
        <v>152</v>
      </c>
      <c r="K11" s="8" t="s">
        <v>152</v>
      </c>
      <c r="L11" s="8" t="s">
        <v>211</v>
      </c>
      <c r="M11" s="73"/>
      <c r="N11" s="73"/>
      <c r="O11" s="67" t="n">
        <v>130</v>
      </c>
    </row>
    <row r="12" customFormat="false" ht="18" hidden="false" customHeight="true" outlineLevel="0" collapsed="false">
      <c r="A12" s="47" t="s">
        <v>220</v>
      </c>
      <c r="B12" s="8" t="s">
        <v>209</v>
      </c>
      <c r="C12" s="72"/>
      <c r="D12" s="8" t="s">
        <v>210</v>
      </c>
      <c r="E12" s="8" t="s">
        <v>151</v>
      </c>
      <c r="F12" s="8" t="s">
        <v>151</v>
      </c>
      <c r="G12" s="8" t="s">
        <v>151</v>
      </c>
      <c r="H12" s="8" t="s">
        <v>151</v>
      </c>
      <c r="I12" s="8" t="s">
        <v>152</v>
      </c>
      <c r="J12" s="8" t="s">
        <v>152</v>
      </c>
      <c r="K12" s="8" t="s">
        <v>152</v>
      </c>
      <c r="L12" s="8" t="s">
        <v>211</v>
      </c>
      <c r="M12" s="73"/>
      <c r="N12" s="73"/>
      <c r="O12" s="67" t="n">
        <v>130</v>
      </c>
    </row>
    <row r="13" customFormat="false" ht="18" hidden="false" customHeight="true" outlineLevel="0" collapsed="false">
      <c r="A13" s="47" t="s">
        <v>221</v>
      </c>
      <c r="B13" s="8" t="s">
        <v>209</v>
      </c>
      <c r="C13" s="72"/>
      <c r="D13" s="8" t="s">
        <v>210</v>
      </c>
      <c r="E13" s="8" t="s">
        <v>151</v>
      </c>
      <c r="F13" s="8" t="s">
        <v>151</v>
      </c>
      <c r="G13" s="8" t="s">
        <v>151</v>
      </c>
      <c r="H13" s="8" t="s">
        <v>151</v>
      </c>
      <c r="I13" s="8" t="s">
        <v>152</v>
      </c>
      <c r="J13" s="8" t="s">
        <v>152</v>
      </c>
      <c r="K13" s="8" t="s">
        <v>152</v>
      </c>
      <c r="L13" s="8" t="s">
        <v>211</v>
      </c>
      <c r="M13" s="73"/>
      <c r="N13" s="73"/>
      <c r="O13" s="67" t="n">
        <v>130</v>
      </c>
    </row>
    <row r="14" customFormat="false" ht="18" hidden="false" customHeight="true" outlineLevel="0" collapsed="false">
      <c r="A14" s="47" t="s">
        <v>222</v>
      </c>
      <c r="B14" s="8" t="s">
        <v>209</v>
      </c>
      <c r="C14" s="72"/>
      <c r="D14" s="8" t="s">
        <v>210</v>
      </c>
      <c r="E14" s="8" t="s">
        <v>151</v>
      </c>
      <c r="F14" s="8" t="s">
        <v>151</v>
      </c>
      <c r="G14" s="8" t="s">
        <v>151</v>
      </c>
      <c r="H14" s="8" t="s">
        <v>151</v>
      </c>
      <c r="I14" s="8" t="s">
        <v>152</v>
      </c>
      <c r="J14" s="8" t="s">
        <v>152</v>
      </c>
      <c r="K14" s="8" t="s">
        <v>152</v>
      </c>
      <c r="L14" s="8" t="s">
        <v>211</v>
      </c>
      <c r="M14" s="73"/>
      <c r="N14" s="73"/>
      <c r="O14" s="67" t="n">
        <v>130</v>
      </c>
    </row>
    <row r="15" customFormat="false" ht="18" hidden="false" customHeight="true" outlineLevel="0" collapsed="false">
      <c r="A15" s="47" t="s">
        <v>223</v>
      </c>
      <c r="B15" s="8" t="s">
        <v>209</v>
      </c>
      <c r="C15" s="72"/>
      <c r="D15" s="8" t="s">
        <v>210</v>
      </c>
      <c r="E15" s="8" t="s">
        <v>151</v>
      </c>
      <c r="F15" s="8" t="s">
        <v>151</v>
      </c>
      <c r="G15" s="8" t="s">
        <v>151</v>
      </c>
      <c r="H15" s="8" t="s">
        <v>151</v>
      </c>
      <c r="I15" s="8" t="s">
        <v>151</v>
      </c>
      <c r="J15" s="8" t="s">
        <v>151</v>
      </c>
      <c r="K15" s="8" t="s">
        <v>152</v>
      </c>
      <c r="L15" s="8" t="s">
        <v>132</v>
      </c>
      <c r="M15" s="73" t="s">
        <v>224</v>
      </c>
      <c r="N15" s="73" t="s">
        <v>225</v>
      </c>
      <c r="O15" s="67" t="n">
        <v>0</v>
      </c>
    </row>
    <row r="16" customFormat="false" ht="30.55" hidden="false" customHeight="true" outlineLevel="0" collapsed="false">
      <c r="A16" s="47" t="s">
        <v>226</v>
      </c>
      <c r="B16" s="8" t="s">
        <v>209</v>
      </c>
      <c r="C16" s="72"/>
      <c r="D16" s="8" t="s">
        <v>210</v>
      </c>
      <c r="E16" s="8" t="s">
        <v>151</v>
      </c>
      <c r="F16" s="8" t="s">
        <v>151</v>
      </c>
      <c r="G16" s="8" t="s">
        <v>151</v>
      </c>
      <c r="H16" s="8" t="s">
        <v>151</v>
      </c>
      <c r="I16" s="8" t="s">
        <v>151</v>
      </c>
      <c r="J16" s="8" t="s">
        <v>151</v>
      </c>
      <c r="K16" s="8" t="s">
        <v>152</v>
      </c>
      <c r="L16" s="8" t="s">
        <v>132</v>
      </c>
      <c r="M16" s="73"/>
      <c r="N16" s="73" t="s">
        <v>227</v>
      </c>
      <c r="O16" s="67" t="n">
        <v>0</v>
      </c>
    </row>
    <row r="17" customFormat="false" ht="19.5" hidden="false" customHeight="true" outlineLevel="0" collapsed="false">
      <c r="A17" s="71" t="s">
        <v>228</v>
      </c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</row>
    <row r="18" customFormat="false" ht="18" hidden="false" customHeight="true" outlineLevel="0" collapsed="false">
      <c r="A18" s="47" t="s">
        <v>229</v>
      </c>
      <c r="B18" s="8" t="s">
        <v>209</v>
      </c>
      <c r="C18" s="72"/>
      <c r="D18" s="8" t="s">
        <v>210</v>
      </c>
      <c r="E18" s="8" t="s">
        <v>151</v>
      </c>
      <c r="F18" s="8" t="s">
        <v>151</v>
      </c>
      <c r="G18" s="8" t="s">
        <v>151</v>
      </c>
      <c r="H18" s="8" t="s">
        <v>151</v>
      </c>
      <c r="I18" s="8" t="s">
        <v>152</v>
      </c>
      <c r="J18" s="8" t="s">
        <v>152</v>
      </c>
      <c r="K18" s="8" t="s">
        <v>152</v>
      </c>
      <c r="L18" s="8" t="s">
        <v>211</v>
      </c>
      <c r="M18" s="73"/>
      <c r="N18" s="73"/>
      <c r="O18" s="67" t="n">
        <v>130</v>
      </c>
    </row>
    <row r="19" customFormat="false" ht="18" hidden="false" customHeight="true" outlineLevel="0" collapsed="false">
      <c r="A19" s="47" t="s">
        <v>230</v>
      </c>
      <c r="B19" s="8" t="s">
        <v>231</v>
      </c>
      <c r="C19" s="72"/>
      <c r="D19" s="8" t="s">
        <v>210</v>
      </c>
      <c r="E19" s="8" t="s">
        <v>151</v>
      </c>
      <c r="F19" s="8" t="s">
        <v>151</v>
      </c>
      <c r="G19" s="8" t="s">
        <v>151</v>
      </c>
      <c r="H19" s="8" t="s">
        <v>151</v>
      </c>
      <c r="I19" s="8" t="s">
        <v>152</v>
      </c>
      <c r="J19" s="8" t="s">
        <v>152</v>
      </c>
      <c r="K19" s="8" t="s">
        <v>152</v>
      </c>
      <c r="L19" s="8" t="s">
        <v>211</v>
      </c>
      <c r="M19" s="73"/>
      <c r="N19" s="73"/>
      <c r="O19" s="67" t="n">
        <v>180</v>
      </c>
    </row>
    <row r="20" customFormat="false" ht="18" hidden="false" customHeight="true" outlineLevel="0" collapsed="false">
      <c r="A20" s="47" t="s">
        <v>232</v>
      </c>
      <c r="B20" s="8" t="s">
        <v>231</v>
      </c>
      <c r="C20" s="72"/>
      <c r="D20" s="8" t="s">
        <v>210</v>
      </c>
      <c r="E20" s="8" t="s">
        <v>151</v>
      </c>
      <c r="F20" s="8" t="s">
        <v>151</v>
      </c>
      <c r="G20" s="8" t="s">
        <v>151</v>
      </c>
      <c r="H20" s="8" t="s">
        <v>151</v>
      </c>
      <c r="I20" s="8" t="s">
        <v>152</v>
      </c>
      <c r="J20" s="8" t="s">
        <v>152</v>
      </c>
      <c r="K20" s="8" t="s">
        <v>152</v>
      </c>
      <c r="L20" s="8" t="s">
        <v>211</v>
      </c>
      <c r="M20" s="73"/>
      <c r="N20" s="73"/>
      <c r="O20" s="67" t="n">
        <v>180</v>
      </c>
    </row>
    <row r="21" customFormat="false" ht="18" hidden="false" customHeight="true" outlineLevel="0" collapsed="false">
      <c r="A21" s="47" t="s">
        <v>233</v>
      </c>
      <c r="B21" s="8" t="s">
        <v>231</v>
      </c>
      <c r="C21" s="72"/>
      <c r="D21" s="8" t="s">
        <v>210</v>
      </c>
      <c r="E21" s="8" t="s">
        <v>151</v>
      </c>
      <c r="F21" s="8" t="s">
        <v>151</v>
      </c>
      <c r="G21" s="8" t="s">
        <v>151</v>
      </c>
      <c r="H21" s="8" t="s">
        <v>151</v>
      </c>
      <c r="I21" s="8" t="s">
        <v>152</v>
      </c>
      <c r="J21" s="8" t="s">
        <v>152</v>
      </c>
      <c r="K21" s="8" t="s">
        <v>152</v>
      </c>
      <c r="L21" s="8" t="s">
        <v>211</v>
      </c>
      <c r="M21" s="73"/>
      <c r="N21" s="73"/>
      <c r="O21" s="67" t="n">
        <v>180</v>
      </c>
    </row>
    <row r="22" customFormat="false" ht="18" hidden="false" customHeight="true" outlineLevel="0" collapsed="false">
      <c r="A22" s="47" t="s">
        <v>234</v>
      </c>
      <c r="B22" s="8" t="s">
        <v>231</v>
      </c>
      <c r="C22" s="72"/>
      <c r="D22" s="8" t="s">
        <v>210</v>
      </c>
      <c r="E22" s="8" t="s">
        <v>151</v>
      </c>
      <c r="F22" s="8" t="s">
        <v>151</v>
      </c>
      <c r="G22" s="8" t="s">
        <v>151</v>
      </c>
      <c r="H22" s="8" t="s">
        <v>151</v>
      </c>
      <c r="I22" s="8" t="s">
        <v>152</v>
      </c>
      <c r="J22" s="8" t="s">
        <v>152</v>
      </c>
      <c r="K22" s="8" t="s">
        <v>152</v>
      </c>
      <c r="L22" s="8" t="s">
        <v>211</v>
      </c>
      <c r="M22" s="73" t="s">
        <v>235</v>
      </c>
      <c r="N22" s="73"/>
      <c r="O22" s="67" t="n">
        <v>180</v>
      </c>
    </row>
    <row r="23" customFormat="false" ht="18" hidden="false" customHeight="true" outlineLevel="0" collapsed="false">
      <c r="A23" s="47" t="s">
        <v>236</v>
      </c>
      <c r="B23" s="8" t="s">
        <v>231</v>
      </c>
      <c r="C23" s="72"/>
      <c r="D23" s="8" t="s">
        <v>210</v>
      </c>
      <c r="E23" s="8" t="s">
        <v>151</v>
      </c>
      <c r="F23" s="8" t="s">
        <v>151</v>
      </c>
      <c r="G23" s="8" t="s">
        <v>151</v>
      </c>
      <c r="H23" s="8" t="s">
        <v>151</v>
      </c>
      <c r="I23" s="8" t="s">
        <v>152</v>
      </c>
      <c r="J23" s="8" t="s">
        <v>152</v>
      </c>
      <c r="K23" s="8" t="s">
        <v>152</v>
      </c>
      <c r="L23" s="8" t="s">
        <v>211</v>
      </c>
      <c r="M23" s="73"/>
      <c r="N23" s="73"/>
      <c r="O23" s="67" t="n">
        <v>180</v>
      </c>
    </row>
    <row r="24" customFormat="false" ht="18" hidden="false" customHeight="true" outlineLevel="0" collapsed="false">
      <c r="A24" s="47" t="s">
        <v>237</v>
      </c>
      <c r="B24" s="8" t="s">
        <v>231</v>
      </c>
      <c r="C24" s="72"/>
      <c r="D24" s="8" t="s">
        <v>210</v>
      </c>
      <c r="E24" s="8" t="s">
        <v>151</v>
      </c>
      <c r="F24" s="8" t="s">
        <v>151</v>
      </c>
      <c r="G24" s="8" t="s">
        <v>151</v>
      </c>
      <c r="H24" s="8" t="s">
        <v>151</v>
      </c>
      <c r="I24" s="8" t="s">
        <v>152</v>
      </c>
      <c r="J24" s="8" t="s">
        <v>152</v>
      </c>
      <c r="K24" s="8" t="s">
        <v>152</v>
      </c>
      <c r="L24" s="8" t="s">
        <v>211</v>
      </c>
      <c r="M24" s="73"/>
      <c r="N24" s="73"/>
      <c r="O24" s="67" t="n">
        <v>180</v>
      </c>
    </row>
    <row r="25" customFormat="false" ht="18" hidden="false" customHeight="true" outlineLevel="0" collapsed="false">
      <c r="A25" s="47" t="s">
        <v>238</v>
      </c>
      <c r="B25" s="8" t="s">
        <v>231</v>
      </c>
      <c r="C25" s="72"/>
      <c r="D25" s="8" t="s">
        <v>210</v>
      </c>
      <c r="E25" s="8" t="s">
        <v>151</v>
      </c>
      <c r="F25" s="8" t="s">
        <v>151</v>
      </c>
      <c r="G25" s="8" t="s">
        <v>151</v>
      </c>
      <c r="H25" s="8" t="s">
        <v>151</v>
      </c>
      <c r="I25" s="8" t="s">
        <v>152</v>
      </c>
      <c r="J25" s="8" t="s">
        <v>152</v>
      </c>
      <c r="K25" s="8" t="s">
        <v>152</v>
      </c>
      <c r="L25" s="8" t="s">
        <v>211</v>
      </c>
      <c r="M25" s="73"/>
      <c r="N25" s="73"/>
      <c r="O25" s="67" t="n">
        <v>180</v>
      </c>
    </row>
    <row r="26" customFormat="false" ht="18" hidden="false" customHeight="true" outlineLevel="0" collapsed="false">
      <c r="A26" s="47" t="s">
        <v>239</v>
      </c>
      <c r="B26" s="8" t="s">
        <v>231</v>
      </c>
      <c r="C26" s="72"/>
      <c r="D26" s="8" t="s">
        <v>210</v>
      </c>
      <c r="E26" s="8" t="s">
        <v>151</v>
      </c>
      <c r="F26" s="8" t="s">
        <v>151</v>
      </c>
      <c r="G26" s="8" t="s">
        <v>151</v>
      </c>
      <c r="H26" s="8" t="s">
        <v>151</v>
      </c>
      <c r="I26" s="8" t="s">
        <v>152</v>
      </c>
      <c r="J26" s="8" t="s">
        <v>152</v>
      </c>
      <c r="K26" s="8" t="s">
        <v>152</v>
      </c>
      <c r="L26" s="8" t="s">
        <v>211</v>
      </c>
      <c r="M26" s="73"/>
      <c r="N26" s="73"/>
      <c r="O26" s="67" t="n">
        <v>180</v>
      </c>
    </row>
    <row r="27" customFormat="false" ht="18" hidden="false" customHeight="true" outlineLevel="0" collapsed="false">
      <c r="A27" s="47" t="s">
        <v>240</v>
      </c>
      <c r="B27" s="8" t="s">
        <v>231</v>
      </c>
      <c r="C27" s="72"/>
      <c r="D27" s="8" t="s">
        <v>210</v>
      </c>
      <c r="E27" s="8" t="s">
        <v>151</v>
      </c>
      <c r="F27" s="8" t="s">
        <v>151</v>
      </c>
      <c r="G27" s="8" t="s">
        <v>151</v>
      </c>
      <c r="H27" s="8" t="s">
        <v>151</v>
      </c>
      <c r="I27" s="8" t="s">
        <v>152</v>
      </c>
      <c r="J27" s="8" t="s">
        <v>152</v>
      </c>
      <c r="K27" s="8" t="s">
        <v>152</v>
      </c>
      <c r="L27" s="8" t="s">
        <v>211</v>
      </c>
      <c r="M27" s="73"/>
      <c r="N27" s="73"/>
      <c r="O27" s="67" t="n">
        <v>180</v>
      </c>
    </row>
    <row r="28" customFormat="false" ht="18" hidden="false" customHeight="true" outlineLevel="0" collapsed="false">
      <c r="A28" s="47" t="s">
        <v>241</v>
      </c>
      <c r="B28" s="8" t="s">
        <v>209</v>
      </c>
      <c r="C28" s="72"/>
      <c r="D28" s="8" t="s">
        <v>210</v>
      </c>
      <c r="E28" s="8" t="s">
        <v>151</v>
      </c>
      <c r="F28" s="8" t="s">
        <v>151</v>
      </c>
      <c r="G28" s="8" t="s">
        <v>151</v>
      </c>
      <c r="H28" s="8" t="s">
        <v>151</v>
      </c>
      <c r="I28" s="8" t="s">
        <v>151</v>
      </c>
      <c r="J28" s="8" t="s">
        <v>151</v>
      </c>
      <c r="K28" s="8" t="s">
        <v>152</v>
      </c>
      <c r="L28" s="8" t="s">
        <v>132</v>
      </c>
      <c r="M28" s="73" t="s">
        <v>235</v>
      </c>
      <c r="N28" s="73" t="s">
        <v>242</v>
      </c>
      <c r="O28" s="67" t="n">
        <v>0</v>
      </c>
    </row>
    <row r="29" customFormat="false" ht="18" hidden="false" customHeight="true" outlineLevel="0" collapsed="false">
      <c r="A29" s="47" t="s">
        <v>243</v>
      </c>
      <c r="B29" s="8" t="s">
        <v>209</v>
      </c>
      <c r="C29" s="72"/>
      <c r="D29" s="8" t="s">
        <v>210</v>
      </c>
      <c r="E29" s="8" t="s">
        <v>151</v>
      </c>
      <c r="F29" s="8" t="s">
        <v>151</v>
      </c>
      <c r="G29" s="8" t="s">
        <v>151</v>
      </c>
      <c r="H29" s="8" t="s">
        <v>151</v>
      </c>
      <c r="I29" s="8" t="s">
        <v>151</v>
      </c>
      <c r="J29" s="8" t="s">
        <v>151</v>
      </c>
      <c r="K29" s="8" t="s">
        <v>152</v>
      </c>
      <c r="L29" s="8" t="s">
        <v>132</v>
      </c>
      <c r="M29" s="73" t="s">
        <v>244</v>
      </c>
      <c r="N29" s="73" t="s">
        <v>245</v>
      </c>
      <c r="O29" s="67" t="n">
        <v>0</v>
      </c>
    </row>
  </sheetData>
  <mergeCells count="2">
    <mergeCell ref="A2:O2"/>
    <mergeCell ref="A17:O17"/>
  </mergeCells>
  <conditionalFormatting sqref="E3:J16 E18:J29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"Pas OK"</formula>
    </cfRule>
  </conditionalFormatting>
  <conditionalFormatting sqref="K3:K16 K18:K29">
    <cfRule type="cellIs" priority="4" operator="equal" aboveAverage="0" equalAverage="0" bottom="0" percent="0" rank="0" text="" dxfId="0">
      <formula>"OK"</formula>
    </cfRule>
    <cfRule type="cellIs" priority="5" operator="equal" aboveAverage="0" equalAverage="0" bottom="0" percent="0" rank="0" text="" dxfId="1">
      <formula>"Pas OK"</formula>
    </cfRule>
    <cfRule type="cellIs" priority="6" operator="equal" aboveAverage="0" equalAverage="0" bottom="0" percent="0" rank="0" text="" dxfId="2">
      <formula>"Partiel"</formula>
    </cfRule>
  </conditionalFormatting>
  <conditionalFormatting sqref="L3:L16 L18:L29">
    <cfRule type="cellIs" priority="7" operator="equal" aboveAverage="0" equalAverage="0" bottom="0" percent="0" rank="0" text="" dxfId="0">
      <formula>"Fait"</formula>
    </cfRule>
    <cfRule type="cellIs" priority="8" operator="equal" aboveAverage="0" equalAverage="0" bottom="0" percent="0" rank="0" text="" dxfId="1">
      <formula>"A faire"</formula>
    </cfRule>
    <cfRule type="cellIs" priority="9" operator="equal" aboveAverage="0" equalAverage="0" bottom="0" percent="0" rank="0" text="" dxfId="2">
      <formula>"En cours"</formula>
    </cfRule>
  </conditionalFormatting>
  <conditionalFormatting sqref="C3:D16 C18:D29">
    <cfRule type="cellIs" priority="10" operator="equal" aboveAverage="0" equalAverage="0" bottom="0" percent="0" rank="0" text="" dxfId="3">
      <formula>"N/A"</formula>
    </cfRule>
  </conditionalFormatting>
  <dataValidations count="12">
    <dataValidation allowBlank="true" errorStyle="stop" operator="equal" showDropDown="false" showErrorMessage="false" showInputMessage="false" sqref="B3:B16" type="list">
      <formula1>"T630,T640,T655"</formula1>
      <formula2>0</formula2>
    </dataValidation>
    <dataValidation allowBlank="true" errorStyle="stop" operator="equal" showDropDown="false" showErrorMessage="false" showInputMessage="false" sqref="C3:C16" type="list">
      <formula1>"ZD621,ZD620,GX420d,N/A"</formula1>
      <formula2>0</formula2>
    </dataValidation>
    <dataValidation allowBlank="true" errorStyle="stop" operator="equal" showDropDown="false" showErrorMessage="false" showInputMessage="false" sqref="D3:D16" type="list">
      <formula1>"ZT411,ZT410,N/A"</formula1>
      <formula2>0</formula2>
    </dataValidation>
    <dataValidation allowBlank="true" errorStyle="stop" operator="equal" showDropDown="false" showErrorMessage="false" showInputMessage="false" sqref="E3:J16" type="list">
      <formula1>"OK,Pas OK"</formula1>
      <formula2>0</formula2>
    </dataValidation>
    <dataValidation allowBlank="true" errorStyle="stop" operator="equal" showDropDown="false" showErrorMessage="false" showInputMessage="false" sqref="K3:K16" type="list">
      <formula1>"OK,Pas OK,Partiel"</formula1>
      <formula2>0</formula2>
    </dataValidation>
    <dataValidation allowBlank="true" errorStyle="stop" operator="equal" showDropDown="false" showErrorMessage="false" showInputMessage="false" sqref="L3:L16" type="list">
      <formula1>"Fait,En cours,A faire"</formula1>
      <formula2>0</formula2>
    </dataValidation>
    <dataValidation allowBlank="true" errorStyle="stop" operator="equal" showDropDown="false" showErrorMessage="false" showInputMessage="false" sqref="B18:B29" type="list">
      <formula1>"T630,T640,T655"</formula1>
      <formula2>0</formula2>
    </dataValidation>
    <dataValidation allowBlank="true" errorStyle="stop" operator="equal" showDropDown="false" showErrorMessage="false" showInputMessage="false" sqref="C18:C29" type="list">
      <formula1>"ZD621,ZD620,GX420d,N/A"</formula1>
      <formula2>0</formula2>
    </dataValidation>
    <dataValidation allowBlank="true" errorStyle="stop" operator="equal" showDropDown="false" showErrorMessage="false" showInputMessage="false" sqref="D18:D29" type="list">
      <formula1>"ZT411,ZT410,N/A"</formula1>
      <formula2>0</formula2>
    </dataValidation>
    <dataValidation allowBlank="true" errorStyle="stop" operator="equal" showDropDown="false" showErrorMessage="false" showInputMessage="false" sqref="E18:J29" type="list">
      <formula1>"OK,Pas OK"</formula1>
      <formula2>0</formula2>
    </dataValidation>
    <dataValidation allowBlank="true" errorStyle="stop" operator="equal" showDropDown="false" showErrorMessage="false" showInputMessage="false" sqref="K18:K29" type="list">
      <formula1>"OK,Pas OK,Partiel"</formula1>
      <formula2>0</formula2>
    </dataValidation>
    <dataValidation allowBlank="true" errorStyle="stop" operator="equal" showDropDown="false" showErrorMessage="false" showInputMessage="false" sqref="L18:L29" type="list">
      <formula1>"Fait,En cours,A faire"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O16" activeCellId="1" sqref="38:38 O16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1"/>
    <col collapsed="false" customWidth="true" hidden="false" outlineLevel="0" max="4" min="3" style="1" width="15"/>
    <col collapsed="false" customWidth="true" hidden="false" outlineLevel="0" max="12" min="5" style="1" width="13"/>
    <col collapsed="false" customWidth="true" hidden="false" outlineLevel="0" max="13" min="13" style="1" width="32"/>
    <col collapsed="false" customWidth="true" hidden="false" outlineLevel="0" max="14" min="14" style="1" width="38"/>
    <col collapsed="false" customWidth="true" hidden="false" outlineLevel="0" max="15" min="15" style="1" width="14"/>
  </cols>
  <sheetData>
    <row r="1" customFormat="false" ht="31.5" hidden="false" customHeight="true" outlineLevel="0" collapsed="false">
      <c r="A1" s="70" t="s">
        <v>201</v>
      </c>
      <c r="B1" s="70" t="s">
        <v>202</v>
      </c>
      <c r="C1" s="70" t="s">
        <v>166</v>
      </c>
      <c r="D1" s="70" t="s">
        <v>167</v>
      </c>
      <c r="E1" s="70" t="s">
        <v>155</v>
      </c>
      <c r="F1" s="70" t="s">
        <v>156</v>
      </c>
      <c r="G1" s="70" t="s">
        <v>157</v>
      </c>
      <c r="H1" s="70" t="s">
        <v>158</v>
      </c>
      <c r="I1" s="70" t="s">
        <v>159</v>
      </c>
      <c r="J1" s="70" t="s">
        <v>160</v>
      </c>
      <c r="K1" s="70" t="s">
        <v>161</v>
      </c>
      <c r="L1" s="70" t="s">
        <v>203</v>
      </c>
      <c r="M1" s="70" t="s">
        <v>204</v>
      </c>
      <c r="N1" s="70" t="s">
        <v>205</v>
      </c>
      <c r="O1" s="70" t="s">
        <v>206</v>
      </c>
    </row>
    <row r="2" customFormat="false" ht="19.5" hidden="false" customHeight="true" outlineLevel="0" collapsed="false">
      <c r="A2" s="71" t="s">
        <v>207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</row>
    <row r="3" customFormat="false" ht="18" hidden="false" customHeight="true" outlineLevel="0" collapsed="false">
      <c r="A3" s="47" t="s">
        <v>246</v>
      </c>
      <c r="B3" s="8" t="s">
        <v>209</v>
      </c>
      <c r="C3" s="72"/>
      <c r="D3" s="8" t="s">
        <v>210</v>
      </c>
      <c r="E3" s="8" t="s">
        <v>151</v>
      </c>
      <c r="F3" s="8" t="s">
        <v>151</v>
      </c>
      <c r="G3" s="8" t="s">
        <v>151</v>
      </c>
      <c r="H3" s="8" t="s">
        <v>151</v>
      </c>
      <c r="I3" s="8" t="s">
        <v>151</v>
      </c>
      <c r="J3" s="8" t="s">
        <v>151</v>
      </c>
      <c r="K3" s="8" t="s">
        <v>152</v>
      </c>
      <c r="L3" s="8" t="s">
        <v>132</v>
      </c>
      <c r="M3" s="73"/>
      <c r="N3" s="73"/>
      <c r="O3" s="67" t="n">
        <v>0</v>
      </c>
    </row>
    <row r="4" customFormat="false" ht="18" hidden="false" customHeight="true" outlineLevel="0" collapsed="false">
      <c r="A4" s="47" t="s">
        <v>247</v>
      </c>
      <c r="B4" s="8" t="s">
        <v>209</v>
      </c>
      <c r="C4" s="72"/>
      <c r="D4" s="8" t="s">
        <v>210</v>
      </c>
      <c r="E4" s="8" t="s">
        <v>151</v>
      </c>
      <c r="F4" s="8" t="s">
        <v>151</v>
      </c>
      <c r="G4" s="8" t="s">
        <v>151</v>
      </c>
      <c r="H4" s="8" t="s">
        <v>151</v>
      </c>
      <c r="I4" s="8" t="s">
        <v>151</v>
      </c>
      <c r="J4" s="8" t="s">
        <v>151</v>
      </c>
      <c r="K4" s="8" t="s">
        <v>152</v>
      </c>
      <c r="L4" s="8" t="s">
        <v>132</v>
      </c>
      <c r="M4" s="73"/>
      <c r="N4" s="73" t="s">
        <v>248</v>
      </c>
      <c r="O4" s="67" t="n">
        <v>0</v>
      </c>
    </row>
    <row r="5" customFormat="false" ht="18" hidden="false" customHeight="true" outlineLevel="0" collapsed="false">
      <c r="A5" s="47" t="s">
        <v>249</v>
      </c>
      <c r="B5" s="8" t="s">
        <v>209</v>
      </c>
      <c r="C5" s="72"/>
      <c r="D5" s="8" t="s">
        <v>210</v>
      </c>
      <c r="E5" s="8" t="s">
        <v>151</v>
      </c>
      <c r="F5" s="8" t="s">
        <v>151</v>
      </c>
      <c r="G5" s="8" t="s">
        <v>151</v>
      </c>
      <c r="H5" s="8" t="s">
        <v>151</v>
      </c>
      <c r="I5" s="8" t="s">
        <v>151</v>
      </c>
      <c r="J5" s="8" t="s">
        <v>151</v>
      </c>
      <c r="K5" s="8" t="s">
        <v>152</v>
      </c>
      <c r="L5" s="8" t="s">
        <v>132</v>
      </c>
      <c r="M5" s="73"/>
      <c r="N5" s="73" t="s">
        <v>250</v>
      </c>
      <c r="O5" s="67" t="n">
        <v>0</v>
      </c>
    </row>
    <row r="6" customFormat="false" ht="18" hidden="false" customHeight="true" outlineLevel="0" collapsed="false">
      <c r="A6" s="47" t="s">
        <v>251</v>
      </c>
      <c r="B6" s="8" t="s">
        <v>209</v>
      </c>
      <c r="C6" s="72"/>
      <c r="D6" s="8" t="s">
        <v>210</v>
      </c>
      <c r="E6" s="8" t="s">
        <v>151</v>
      </c>
      <c r="F6" s="8" t="s">
        <v>151</v>
      </c>
      <c r="G6" s="8" t="s">
        <v>151</v>
      </c>
      <c r="H6" s="8" t="s">
        <v>151</v>
      </c>
      <c r="I6" s="8" t="s">
        <v>152</v>
      </c>
      <c r="J6" s="8" t="s">
        <v>152</v>
      </c>
      <c r="K6" s="8" t="s">
        <v>152</v>
      </c>
      <c r="L6" s="8" t="s">
        <v>211</v>
      </c>
      <c r="M6" s="73"/>
      <c r="N6" s="73"/>
      <c r="O6" s="67" t="n">
        <v>130</v>
      </c>
    </row>
    <row r="7" customFormat="false" ht="18" hidden="false" customHeight="true" outlineLevel="0" collapsed="false">
      <c r="A7" s="47" t="s">
        <v>252</v>
      </c>
      <c r="B7" s="8" t="s">
        <v>209</v>
      </c>
      <c r="C7" s="72"/>
      <c r="D7" s="8" t="s">
        <v>210</v>
      </c>
      <c r="E7" s="8" t="s">
        <v>151</v>
      </c>
      <c r="F7" s="8" t="s">
        <v>151</v>
      </c>
      <c r="G7" s="8" t="s">
        <v>151</v>
      </c>
      <c r="H7" s="8" t="s">
        <v>151</v>
      </c>
      <c r="I7" s="8" t="s">
        <v>152</v>
      </c>
      <c r="J7" s="8" t="s">
        <v>152</v>
      </c>
      <c r="K7" s="8" t="s">
        <v>152</v>
      </c>
      <c r="L7" s="8" t="s">
        <v>211</v>
      </c>
      <c r="M7" s="73"/>
      <c r="N7" s="73"/>
      <c r="O7" s="67" t="n">
        <v>130</v>
      </c>
    </row>
    <row r="8" customFormat="false" ht="18" hidden="false" customHeight="true" outlineLevel="0" collapsed="false">
      <c r="A8" s="47" t="s">
        <v>253</v>
      </c>
      <c r="B8" s="8" t="s">
        <v>209</v>
      </c>
      <c r="C8" s="72"/>
      <c r="D8" s="8" t="s">
        <v>210</v>
      </c>
      <c r="E8" s="8" t="s">
        <v>151</v>
      </c>
      <c r="F8" s="8" t="s">
        <v>151</v>
      </c>
      <c r="G8" s="8" t="s">
        <v>151</v>
      </c>
      <c r="H8" s="8" t="s">
        <v>151</v>
      </c>
      <c r="I8" s="8" t="s">
        <v>152</v>
      </c>
      <c r="J8" s="8" t="s">
        <v>152</v>
      </c>
      <c r="K8" s="8" t="s">
        <v>152</v>
      </c>
      <c r="L8" s="8" t="s">
        <v>211</v>
      </c>
      <c r="M8" s="73"/>
      <c r="N8" s="73"/>
      <c r="O8" s="67" t="n">
        <v>130</v>
      </c>
    </row>
    <row r="9" customFormat="false" ht="18" hidden="false" customHeight="true" outlineLevel="0" collapsed="false">
      <c r="A9" s="47" t="s">
        <v>254</v>
      </c>
      <c r="B9" s="8" t="s">
        <v>209</v>
      </c>
      <c r="C9" s="72"/>
      <c r="D9" s="8" t="s">
        <v>210</v>
      </c>
      <c r="E9" s="8" t="s">
        <v>151</v>
      </c>
      <c r="F9" s="8" t="s">
        <v>151</v>
      </c>
      <c r="G9" s="8" t="s">
        <v>151</v>
      </c>
      <c r="H9" s="8" t="s">
        <v>151</v>
      </c>
      <c r="I9" s="8" t="s">
        <v>152</v>
      </c>
      <c r="J9" s="8" t="s">
        <v>152</v>
      </c>
      <c r="K9" s="8" t="s">
        <v>152</v>
      </c>
      <c r="L9" s="8" t="s">
        <v>211</v>
      </c>
      <c r="M9" s="73"/>
      <c r="N9" s="73" t="s">
        <v>255</v>
      </c>
      <c r="O9" s="67" t="n">
        <v>130</v>
      </c>
    </row>
    <row r="10" customFormat="false" ht="18" hidden="false" customHeight="true" outlineLevel="0" collapsed="false">
      <c r="A10" s="47" t="s">
        <v>256</v>
      </c>
      <c r="B10" s="8" t="s">
        <v>209</v>
      </c>
      <c r="C10" s="72"/>
      <c r="D10" s="8" t="s">
        <v>210</v>
      </c>
      <c r="E10" s="8" t="s">
        <v>151</v>
      </c>
      <c r="F10" s="8" t="s">
        <v>151</v>
      </c>
      <c r="G10" s="8" t="s">
        <v>151</v>
      </c>
      <c r="H10" s="8" t="s">
        <v>151</v>
      </c>
      <c r="I10" s="8" t="s">
        <v>152</v>
      </c>
      <c r="J10" s="8" t="s">
        <v>152</v>
      </c>
      <c r="K10" s="8" t="s">
        <v>152</v>
      </c>
      <c r="L10" s="8" t="s">
        <v>211</v>
      </c>
      <c r="M10" s="73"/>
      <c r="N10" s="73"/>
      <c r="O10" s="67" t="n">
        <v>130</v>
      </c>
    </row>
    <row r="11" customFormat="false" ht="18" hidden="false" customHeight="true" outlineLevel="0" collapsed="false">
      <c r="A11" s="47" t="s">
        <v>257</v>
      </c>
      <c r="B11" s="8" t="s">
        <v>209</v>
      </c>
      <c r="C11" s="72"/>
      <c r="D11" s="8" t="s">
        <v>210</v>
      </c>
      <c r="E11" s="8" t="s">
        <v>151</v>
      </c>
      <c r="F11" s="8" t="s">
        <v>151</v>
      </c>
      <c r="G11" s="8" t="s">
        <v>151</v>
      </c>
      <c r="H11" s="8" t="s">
        <v>151</v>
      </c>
      <c r="I11" s="8" t="s">
        <v>152</v>
      </c>
      <c r="J11" s="8" t="s">
        <v>152</v>
      </c>
      <c r="K11" s="8" t="s">
        <v>152</v>
      </c>
      <c r="L11" s="8" t="s">
        <v>211</v>
      </c>
      <c r="M11" s="73"/>
      <c r="N11" s="73" t="s">
        <v>255</v>
      </c>
      <c r="O11" s="67" t="n">
        <v>130</v>
      </c>
    </row>
    <row r="12" customFormat="false" ht="18" hidden="false" customHeight="true" outlineLevel="0" collapsed="false">
      <c r="A12" s="47" t="s">
        <v>258</v>
      </c>
      <c r="B12" s="8" t="s">
        <v>209</v>
      </c>
      <c r="C12" s="72"/>
      <c r="D12" s="8" t="s">
        <v>210</v>
      </c>
      <c r="E12" s="8" t="s">
        <v>151</v>
      </c>
      <c r="F12" s="8" t="s">
        <v>151</v>
      </c>
      <c r="G12" s="8" t="s">
        <v>151</v>
      </c>
      <c r="H12" s="8" t="s">
        <v>151</v>
      </c>
      <c r="I12" s="8" t="s">
        <v>152</v>
      </c>
      <c r="J12" s="8" t="s">
        <v>152</v>
      </c>
      <c r="K12" s="8" t="s">
        <v>152</v>
      </c>
      <c r="L12" s="8" t="s">
        <v>211</v>
      </c>
      <c r="M12" s="73"/>
      <c r="N12" s="73"/>
      <c r="O12" s="67" t="n">
        <v>130</v>
      </c>
    </row>
    <row r="13" customFormat="false" ht="18" hidden="false" customHeight="true" outlineLevel="0" collapsed="false">
      <c r="A13" s="47" t="s">
        <v>259</v>
      </c>
      <c r="B13" s="8" t="s">
        <v>209</v>
      </c>
      <c r="C13" s="72"/>
      <c r="D13" s="8" t="s">
        <v>210</v>
      </c>
      <c r="E13" s="8" t="s">
        <v>151</v>
      </c>
      <c r="F13" s="8" t="s">
        <v>151</v>
      </c>
      <c r="G13" s="8" t="s">
        <v>151</v>
      </c>
      <c r="H13" s="8" t="s">
        <v>151</v>
      </c>
      <c r="I13" s="8" t="s">
        <v>152</v>
      </c>
      <c r="J13" s="8" t="s">
        <v>152</v>
      </c>
      <c r="K13" s="8" t="s">
        <v>152</v>
      </c>
      <c r="L13" s="8" t="s">
        <v>211</v>
      </c>
      <c r="M13" s="73"/>
      <c r="N13" s="73"/>
      <c r="O13" s="67" t="n">
        <v>130</v>
      </c>
    </row>
    <row r="14" customFormat="false" ht="18" hidden="false" customHeight="true" outlineLevel="0" collapsed="false">
      <c r="A14" s="47" t="s">
        <v>260</v>
      </c>
      <c r="B14" s="8" t="s">
        <v>209</v>
      </c>
      <c r="C14" s="72"/>
      <c r="D14" s="8" t="s">
        <v>210</v>
      </c>
      <c r="E14" s="8" t="s">
        <v>151</v>
      </c>
      <c r="F14" s="8" t="s">
        <v>151</v>
      </c>
      <c r="G14" s="8" t="s">
        <v>151</v>
      </c>
      <c r="H14" s="8" t="s">
        <v>151</v>
      </c>
      <c r="I14" s="8" t="s">
        <v>152</v>
      </c>
      <c r="J14" s="8" t="s">
        <v>152</v>
      </c>
      <c r="K14" s="8" t="s">
        <v>152</v>
      </c>
      <c r="L14" s="8" t="s">
        <v>211</v>
      </c>
      <c r="M14" s="73"/>
      <c r="N14" s="73"/>
      <c r="O14" s="67" t="n">
        <v>130</v>
      </c>
    </row>
    <row r="15" customFormat="false" ht="31.3" hidden="false" customHeight="true" outlineLevel="0" collapsed="false">
      <c r="A15" s="47" t="s">
        <v>261</v>
      </c>
      <c r="B15" s="8" t="s">
        <v>209</v>
      </c>
      <c r="C15" s="72"/>
      <c r="D15" s="8" t="s">
        <v>210</v>
      </c>
      <c r="E15" s="8" t="s">
        <v>151</v>
      </c>
      <c r="F15" s="8" t="s">
        <v>151</v>
      </c>
      <c r="G15" s="8" t="s">
        <v>151</v>
      </c>
      <c r="H15" s="8" t="s">
        <v>151</v>
      </c>
      <c r="I15" s="8" t="s">
        <v>151</v>
      </c>
      <c r="J15" s="8" t="s">
        <v>151</v>
      </c>
      <c r="K15" s="8" t="s">
        <v>152</v>
      </c>
      <c r="L15" s="8" t="s">
        <v>132</v>
      </c>
      <c r="M15" s="73" t="s">
        <v>262</v>
      </c>
      <c r="N15" s="73" t="s">
        <v>263</v>
      </c>
      <c r="O15" s="67" t="n">
        <v>0</v>
      </c>
    </row>
    <row r="16" customFormat="false" ht="27.6" hidden="false" customHeight="true" outlineLevel="0" collapsed="false">
      <c r="A16" s="47" t="s">
        <v>264</v>
      </c>
      <c r="B16" s="8" t="s">
        <v>209</v>
      </c>
      <c r="C16" s="72"/>
      <c r="D16" s="8" t="s">
        <v>210</v>
      </c>
      <c r="E16" s="8" t="s">
        <v>151</v>
      </c>
      <c r="F16" s="8" t="s">
        <v>151</v>
      </c>
      <c r="G16" s="8" t="s">
        <v>151</v>
      </c>
      <c r="H16" s="8" t="s">
        <v>151</v>
      </c>
      <c r="I16" s="8" t="s">
        <v>151</v>
      </c>
      <c r="J16" s="8" t="s">
        <v>151</v>
      </c>
      <c r="K16" s="8" t="s">
        <v>152</v>
      </c>
      <c r="L16" s="8" t="s">
        <v>132</v>
      </c>
      <c r="M16" s="73"/>
      <c r="N16" s="73" t="s">
        <v>265</v>
      </c>
      <c r="O16" s="67" t="n">
        <v>0</v>
      </c>
    </row>
    <row r="17" customFormat="false" ht="19.5" hidden="false" customHeight="true" outlineLevel="0" collapsed="false">
      <c r="A17" s="71" t="s">
        <v>228</v>
      </c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</row>
    <row r="18" customFormat="false" ht="18" hidden="false" customHeight="true" outlineLevel="0" collapsed="false">
      <c r="A18" s="47" t="s">
        <v>266</v>
      </c>
      <c r="B18" s="8" t="s">
        <v>231</v>
      </c>
      <c r="C18" s="72"/>
      <c r="D18" s="8" t="s">
        <v>210</v>
      </c>
      <c r="E18" s="8" t="s">
        <v>151</v>
      </c>
      <c r="F18" s="8" t="s">
        <v>151</v>
      </c>
      <c r="G18" s="8" t="s">
        <v>151</v>
      </c>
      <c r="H18" s="8" t="s">
        <v>151</v>
      </c>
      <c r="I18" s="8" t="s">
        <v>152</v>
      </c>
      <c r="J18" s="8" t="s">
        <v>152</v>
      </c>
      <c r="K18" s="8" t="s">
        <v>152</v>
      </c>
      <c r="L18" s="8" t="s">
        <v>211</v>
      </c>
      <c r="M18" s="73"/>
      <c r="N18" s="73"/>
      <c r="O18" s="67" t="n">
        <v>180</v>
      </c>
    </row>
    <row r="19" customFormat="false" ht="18" hidden="false" customHeight="true" outlineLevel="0" collapsed="false">
      <c r="A19" s="47" t="s">
        <v>267</v>
      </c>
      <c r="B19" s="8" t="s">
        <v>209</v>
      </c>
      <c r="C19" s="72"/>
      <c r="D19" s="8" t="s">
        <v>210</v>
      </c>
      <c r="E19" s="8" t="s">
        <v>151</v>
      </c>
      <c r="F19" s="8" t="s">
        <v>151</v>
      </c>
      <c r="G19" s="8" t="s">
        <v>151</v>
      </c>
      <c r="H19" s="8" t="s">
        <v>151</v>
      </c>
      <c r="I19" s="8" t="s">
        <v>152</v>
      </c>
      <c r="J19" s="8" t="s">
        <v>152</v>
      </c>
      <c r="K19" s="8" t="s">
        <v>152</v>
      </c>
      <c r="L19" s="8" t="s">
        <v>211</v>
      </c>
      <c r="M19" s="73"/>
      <c r="N19" s="73" t="s">
        <v>268</v>
      </c>
      <c r="O19" s="67" t="n">
        <v>130</v>
      </c>
    </row>
    <row r="20" customFormat="false" ht="18" hidden="false" customHeight="true" outlineLevel="0" collapsed="false">
      <c r="A20" s="47" t="s">
        <v>269</v>
      </c>
      <c r="B20" s="8" t="s">
        <v>231</v>
      </c>
      <c r="C20" s="72"/>
      <c r="D20" s="8" t="s">
        <v>210</v>
      </c>
      <c r="E20" s="8" t="s">
        <v>151</v>
      </c>
      <c r="F20" s="8" t="s">
        <v>151</v>
      </c>
      <c r="G20" s="8" t="s">
        <v>151</v>
      </c>
      <c r="H20" s="8" t="s">
        <v>151</v>
      </c>
      <c r="I20" s="8" t="s">
        <v>152</v>
      </c>
      <c r="J20" s="8" t="s">
        <v>152</v>
      </c>
      <c r="K20" s="8" t="s">
        <v>152</v>
      </c>
      <c r="L20" s="8" t="s">
        <v>211</v>
      </c>
      <c r="M20" s="73"/>
      <c r="N20" s="73"/>
      <c r="O20" s="67" t="n">
        <v>180</v>
      </c>
    </row>
    <row r="21" customFormat="false" ht="18" hidden="false" customHeight="true" outlineLevel="0" collapsed="false">
      <c r="A21" s="47" t="s">
        <v>270</v>
      </c>
      <c r="B21" s="8" t="s">
        <v>231</v>
      </c>
      <c r="C21" s="72"/>
      <c r="D21" s="8" t="s">
        <v>210</v>
      </c>
      <c r="E21" s="8" t="s">
        <v>151</v>
      </c>
      <c r="F21" s="8" t="s">
        <v>151</v>
      </c>
      <c r="G21" s="8" t="s">
        <v>151</v>
      </c>
      <c r="H21" s="8" t="s">
        <v>151</v>
      </c>
      <c r="I21" s="8" t="s">
        <v>152</v>
      </c>
      <c r="J21" s="8" t="s">
        <v>152</v>
      </c>
      <c r="K21" s="8" t="s">
        <v>152</v>
      </c>
      <c r="L21" s="8" t="s">
        <v>211</v>
      </c>
      <c r="M21" s="73"/>
      <c r="N21" s="73"/>
      <c r="O21" s="67" t="n">
        <v>180</v>
      </c>
    </row>
    <row r="22" customFormat="false" ht="18" hidden="false" customHeight="true" outlineLevel="0" collapsed="false">
      <c r="A22" s="47" t="s">
        <v>271</v>
      </c>
      <c r="B22" s="8" t="s">
        <v>231</v>
      </c>
      <c r="C22" s="72"/>
      <c r="D22" s="8" t="s">
        <v>210</v>
      </c>
      <c r="E22" s="8" t="s">
        <v>151</v>
      </c>
      <c r="F22" s="8" t="s">
        <v>151</v>
      </c>
      <c r="G22" s="8" t="s">
        <v>151</v>
      </c>
      <c r="H22" s="8" t="s">
        <v>151</v>
      </c>
      <c r="I22" s="8" t="s">
        <v>152</v>
      </c>
      <c r="J22" s="8" t="s">
        <v>152</v>
      </c>
      <c r="K22" s="8" t="s">
        <v>152</v>
      </c>
      <c r="L22" s="8" t="s">
        <v>211</v>
      </c>
      <c r="M22" s="73"/>
      <c r="N22" s="73"/>
      <c r="O22" s="67" t="n">
        <v>180</v>
      </c>
    </row>
    <row r="23" customFormat="false" ht="18" hidden="false" customHeight="true" outlineLevel="0" collapsed="false">
      <c r="A23" s="47" t="s">
        <v>272</v>
      </c>
      <c r="B23" s="8" t="s">
        <v>231</v>
      </c>
      <c r="C23" s="72"/>
      <c r="D23" s="8" t="s">
        <v>210</v>
      </c>
      <c r="E23" s="8" t="s">
        <v>151</v>
      </c>
      <c r="F23" s="8" t="s">
        <v>151</v>
      </c>
      <c r="G23" s="8" t="s">
        <v>151</v>
      </c>
      <c r="H23" s="8" t="s">
        <v>151</v>
      </c>
      <c r="I23" s="8" t="s">
        <v>152</v>
      </c>
      <c r="J23" s="8" t="s">
        <v>152</v>
      </c>
      <c r="K23" s="8" t="s">
        <v>152</v>
      </c>
      <c r="L23" s="8" t="s">
        <v>211</v>
      </c>
      <c r="M23" s="73"/>
      <c r="N23" s="73"/>
      <c r="O23" s="67" t="n">
        <v>180</v>
      </c>
    </row>
    <row r="24" customFormat="false" ht="18" hidden="false" customHeight="true" outlineLevel="0" collapsed="false">
      <c r="A24" s="47" t="s">
        <v>273</v>
      </c>
      <c r="B24" s="8" t="s">
        <v>231</v>
      </c>
      <c r="C24" s="72"/>
      <c r="D24" s="8" t="s">
        <v>210</v>
      </c>
      <c r="E24" s="8" t="s">
        <v>151</v>
      </c>
      <c r="F24" s="8" t="s">
        <v>151</v>
      </c>
      <c r="G24" s="8" t="s">
        <v>151</v>
      </c>
      <c r="H24" s="8" t="s">
        <v>151</v>
      </c>
      <c r="I24" s="8" t="s">
        <v>152</v>
      </c>
      <c r="J24" s="8" t="s">
        <v>152</v>
      </c>
      <c r="K24" s="8" t="s">
        <v>152</v>
      </c>
      <c r="L24" s="8" t="s">
        <v>211</v>
      </c>
      <c r="M24" s="73"/>
      <c r="N24" s="73"/>
      <c r="O24" s="67" t="n">
        <v>180</v>
      </c>
    </row>
    <row r="25" customFormat="false" ht="18" hidden="false" customHeight="true" outlineLevel="0" collapsed="false">
      <c r="A25" s="47" t="s">
        <v>274</v>
      </c>
      <c r="B25" s="8" t="s">
        <v>231</v>
      </c>
      <c r="C25" s="72"/>
      <c r="D25" s="8" t="s">
        <v>210</v>
      </c>
      <c r="E25" s="8" t="s">
        <v>151</v>
      </c>
      <c r="F25" s="8" t="s">
        <v>151</v>
      </c>
      <c r="G25" s="8" t="s">
        <v>151</v>
      </c>
      <c r="H25" s="8" t="s">
        <v>151</v>
      </c>
      <c r="I25" s="8" t="s">
        <v>152</v>
      </c>
      <c r="J25" s="8" t="s">
        <v>152</v>
      </c>
      <c r="K25" s="8" t="s">
        <v>152</v>
      </c>
      <c r="L25" s="8" t="s">
        <v>211</v>
      </c>
      <c r="M25" s="73"/>
      <c r="N25" s="73"/>
      <c r="O25" s="67" t="n">
        <v>180</v>
      </c>
    </row>
    <row r="26" customFormat="false" ht="18" hidden="false" customHeight="true" outlineLevel="0" collapsed="false">
      <c r="A26" s="47" t="s">
        <v>275</v>
      </c>
      <c r="B26" s="8" t="s">
        <v>231</v>
      </c>
      <c r="C26" s="72"/>
      <c r="D26" s="8" t="s">
        <v>210</v>
      </c>
      <c r="E26" s="8" t="s">
        <v>151</v>
      </c>
      <c r="F26" s="8" t="s">
        <v>151</v>
      </c>
      <c r="G26" s="8" t="s">
        <v>151</v>
      </c>
      <c r="H26" s="8" t="s">
        <v>151</v>
      </c>
      <c r="I26" s="8" t="s">
        <v>152</v>
      </c>
      <c r="J26" s="8" t="s">
        <v>152</v>
      </c>
      <c r="K26" s="8" t="s">
        <v>152</v>
      </c>
      <c r="L26" s="8" t="s">
        <v>211</v>
      </c>
      <c r="M26" s="73"/>
      <c r="N26" s="73"/>
      <c r="O26" s="67" t="n">
        <v>180</v>
      </c>
    </row>
    <row r="27" customFormat="false" ht="18" hidden="false" customHeight="true" outlineLevel="0" collapsed="false">
      <c r="A27" s="47" t="s">
        <v>276</v>
      </c>
      <c r="B27" s="8" t="s">
        <v>231</v>
      </c>
      <c r="C27" s="72"/>
      <c r="D27" s="8" t="s">
        <v>210</v>
      </c>
      <c r="E27" s="8" t="s">
        <v>151</v>
      </c>
      <c r="F27" s="8" t="s">
        <v>151</v>
      </c>
      <c r="G27" s="8" t="s">
        <v>151</v>
      </c>
      <c r="H27" s="8" t="s">
        <v>151</v>
      </c>
      <c r="I27" s="8" t="s">
        <v>152</v>
      </c>
      <c r="J27" s="8" t="s">
        <v>152</v>
      </c>
      <c r="K27" s="8" t="s">
        <v>152</v>
      </c>
      <c r="L27" s="8" t="s">
        <v>211</v>
      </c>
      <c r="M27" s="73"/>
      <c r="N27" s="73" t="s">
        <v>277</v>
      </c>
      <c r="O27" s="67" t="n">
        <v>180</v>
      </c>
    </row>
    <row r="28" customFormat="false" ht="18" hidden="false" customHeight="true" outlineLevel="0" collapsed="false">
      <c r="A28" s="47" t="s">
        <v>278</v>
      </c>
      <c r="B28" s="8" t="s">
        <v>209</v>
      </c>
      <c r="C28" s="72"/>
      <c r="D28" s="8" t="s">
        <v>210</v>
      </c>
      <c r="E28" s="8" t="s">
        <v>151</v>
      </c>
      <c r="F28" s="8" t="s">
        <v>151</v>
      </c>
      <c r="G28" s="8" t="s">
        <v>151</v>
      </c>
      <c r="H28" s="8" t="s">
        <v>151</v>
      </c>
      <c r="I28" s="8" t="s">
        <v>152</v>
      </c>
      <c r="J28" s="8" t="s">
        <v>152</v>
      </c>
      <c r="K28" s="8" t="s">
        <v>152</v>
      </c>
      <c r="L28" s="8" t="s">
        <v>211</v>
      </c>
      <c r="M28" s="73"/>
      <c r="N28" s="73"/>
      <c r="O28" s="67" t="n">
        <v>130</v>
      </c>
    </row>
    <row r="29" customFormat="false" ht="18" hidden="false" customHeight="true" outlineLevel="0" collapsed="false">
      <c r="A29" s="47" t="s">
        <v>279</v>
      </c>
      <c r="B29" s="8" t="s">
        <v>231</v>
      </c>
      <c r="C29" s="72"/>
      <c r="D29" s="8" t="s">
        <v>210</v>
      </c>
      <c r="E29" s="8" t="s">
        <v>151</v>
      </c>
      <c r="F29" s="8" t="s">
        <v>151</v>
      </c>
      <c r="G29" s="8" t="s">
        <v>151</v>
      </c>
      <c r="H29" s="8" t="s">
        <v>151</v>
      </c>
      <c r="I29" s="8" t="s">
        <v>151</v>
      </c>
      <c r="J29" s="8" t="s">
        <v>151</v>
      </c>
      <c r="K29" s="8" t="s">
        <v>152</v>
      </c>
      <c r="L29" s="8" t="s">
        <v>132</v>
      </c>
      <c r="M29" s="73"/>
      <c r="N29" s="73" t="s">
        <v>280</v>
      </c>
      <c r="O29" s="67" t="n">
        <v>55</v>
      </c>
    </row>
  </sheetData>
  <mergeCells count="2">
    <mergeCell ref="A2:O2"/>
    <mergeCell ref="A17:O17"/>
  </mergeCells>
  <conditionalFormatting sqref="E3:J16 E18:J29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"Pas OK"</formula>
    </cfRule>
  </conditionalFormatting>
  <conditionalFormatting sqref="K3:K16 K18:K29">
    <cfRule type="cellIs" priority="4" operator="equal" aboveAverage="0" equalAverage="0" bottom="0" percent="0" rank="0" text="" dxfId="0">
      <formula>"OK"</formula>
    </cfRule>
    <cfRule type="cellIs" priority="5" operator="equal" aboveAverage="0" equalAverage="0" bottom="0" percent="0" rank="0" text="" dxfId="1">
      <formula>"Pas OK"</formula>
    </cfRule>
    <cfRule type="cellIs" priority="6" operator="equal" aboveAverage="0" equalAverage="0" bottom="0" percent="0" rank="0" text="" dxfId="2">
      <formula>"Partiel"</formula>
    </cfRule>
  </conditionalFormatting>
  <conditionalFormatting sqref="L3:L16 L18:L29">
    <cfRule type="cellIs" priority="7" operator="equal" aboveAverage="0" equalAverage="0" bottom="0" percent="0" rank="0" text="" dxfId="0">
      <formula>"Fait"</formula>
    </cfRule>
    <cfRule type="cellIs" priority="8" operator="equal" aboveAverage="0" equalAverage="0" bottom="0" percent="0" rank="0" text="" dxfId="1">
      <formula>"A faire"</formula>
    </cfRule>
    <cfRule type="cellIs" priority="9" operator="equal" aboveAverage="0" equalAverage="0" bottom="0" percent="0" rank="0" text="" dxfId="2">
      <formula>"En cours"</formula>
    </cfRule>
  </conditionalFormatting>
  <conditionalFormatting sqref="C3:D16 C18:D29">
    <cfRule type="cellIs" priority="10" operator="equal" aboveAverage="0" equalAverage="0" bottom="0" percent="0" rank="0" text="" dxfId="3">
      <formula>"N/A"</formula>
    </cfRule>
  </conditionalFormatting>
  <dataValidations count="12">
    <dataValidation allowBlank="true" errorStyle="stop" operator="equal" showDropDown="false" showErrorMessage="false" showInputMessage="false" sqref="B3:B16" type="list">
      <formula1>"T630,T640,T655"</formula1>
      <formula2>0</formula2>
    </dataValidation>
    <dataValidation allowBlank="true" errorStyle="stop" operator="equal" showDropDown="false" showErrorMessage="false" showInputMessage="false" sqref="C3:C16" type="list">
      <formula1>"ZD621,ZD620,GX420d,N/A"</formula1>
      <formula2>0</formula2>
    </dataValidation>
    <dataValidation allowBlank="true" errorStyle="stop" operator="equal" showDropDown="false" showErrorMessage="false" showInputMessage="false" sqref="D3:D16" type="list">
      <formula1>"ZT411,ZT410,N/A"</formula1>
      <formula2>0</formula2>
    </dataValidation>
    <dataValidation allowBlank="true" errorStyle="stop" operator="equal" showDropDown="false" showErrorMessage="false" showInputMessage="false" sqref="E3:J16" type="list">
      <formula1>"OK,Pas OK"</formula1>
      <formula2>0</formula2>
    </dataValidation>
    <dataValidation allowBlank="true" errorStyle="stop" operator="equal" showDropDown="false" showErrorMessage="false" showInputMessage="false" sqref="K3:K16" type="list">
      <formula1>"OK,Pas OK,Partiel"</formula1>
      <formula2>0</formula2>
    </dataValidation>
    <dataValidation allowBlank="true" errorStyle="stop" operator="equal" showDropDown="false" showErrorMessage="false" showInputMessage="false" sqref="L3:L16" type="list">
      <formula1>"Fait,En cours,A faire"</formula1>
      <formula2>0</formula2>
    </dataValidation>
    <dataValidation allowBlank="true" errorStyle="stop" operator="equal" showDropDown="false" showErrorMessage="false" showInputMessage="false" sqref="B18:B29" type="list">
      <formula1>"T630,T640,T655"</formula1>
      <formula2>0</formula2>
    </dataValidation>
    <dataValidation allowBlank="true" errorStyle="stop" operator="equal" showDropDown="false" showErrorMessage="false" showInputMessage="false" sqref="C18:C29" type="list">
      <formula1>"ZD621,ZD620,GX420d,N/A"</formula1>
      <formula2>0</formula2>
    </dataValidation>
    <dataValidation allowBlank="true" errorStyle="stop" operator="equal" showDropDown="false" showErrorMessage="false" showInputMessage="false" sqref="D18:D29" type="list">
      <formula1>"ZT411,ZT410,N/A"</formula1>
      <formula2>0</formula2>
    </dataValidation>
    <dataValidation allowBlank="true" errorStyle="stop" operator="equal" showDropDown="false" showErrorMessage="false" showInputMessage="false" sqref="E18:J29" type="list">
      <formula1>"OK,Pas OK"</formula1>
      <formula2>0</formula2>
    </dataValidation>
    <dataValidation allowBlank="true" errorStyle="stop" operator="equal" showDropDown="false" showErrorMessage="false" showInputMessage="false" sqref="K18:K29" type="list">
      <formula1>"OK,Pas OK,Partiel"</formula1>
      <formula2>0</formula2>
    </dataValidation>
    <dataValidation allowBlank="true" errorStyle="stop" operator="equal" showDropDown="false" showErrorMessage="false" showInputMessage="false" sqref="L18:L29" type="list">
      <formula1>"Fait,En cours,A faire"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31" activeCellId="1" sqref="38:38 G31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1"/>
    <col collapsed="false" customWidth="true" hidden="false" outlineLevel="0" max="4" min="3" style="1" width="15"/>
    <col collapsed="false" customWidth="true" hidden="false" outlineLevel="0" max="12" min="5" style="1" width="13"/>
    <col collapsed="false" customWidth="true" hidden="false" outlineLevel="0" max="13" min="13" style="1" width="32"/>
    <col collapsed="false" customWidth="true" hidden="false" outlineLevel="0" max="14" min="14" style="1" width="38"/>
    <col collapsed="false" customWidth="true" hidden="false" outlineLevel="0" max="15" min="15" style="1" width="14"/>
  </cols>
  <sheetData>
    <row r="1" customFormat="false" ht="31.5" hidden="false" customHeight="true" outlineLevel="0" collapsed="false">
      <c r="A1" s="70" t="s">
        <v>201</v>
      </c>
      <c r="B1" s="70" t="s">
        <v>202</v>
      </c>
      <c r="C1" s="70" t="s">
        <v>166</v>
      </c>
      <c r="D1" s="70" t="s">
        <v>167</v>
      </c>
      <c r="E1" s="70" t="s">
        <v>155</v>
      </c>
      <c r="F1" s="70" t="s">
        <v>156</v>
      </c>
      <c r="G1" s="70" t="s">
        <v>157</v>
      </c>
      <c r="H1" s="70" t="s">
        <v>158</v>
      </c>
      <c r="I1" s="70" t="s">
        <v>159</v>
      </c>
      <c r="J1" s="70" t="s">
        <v>160</v>
      </c>
      <c r="K1" s="70" t="s">
        <v>161</v>
      </c>
      <c r="L1" s="70" t="s">
        <v>203</v>
      </c>
      <c r="M1" s="70" t="s">
        <v>204</v>
      </c>
      <c r="N1" s="70" t="s">
        <v>205</v>
      </c>
      <c r="O1" s="70" t="s">
        <v>206</v>
      </c>
    </row>
    <row r="2" customFormat="false" ht="19.5" hidden="false" customHeight="true" outlineLevel="0" collapsed="false">
      <c r="A2" s="74" t="s">
        <v>281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</row>
    <row r="3" customFormat="false" ht="18" hidden="false" customHeight="true" outlineLevel="0" collapsed="false">
      <c r="A3" s="47" t="s">
        <v>282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8" t="s">
        <v>211</v>
      </c>
      <c r="M3" s="73"/>
      <c r="N3" s="73"/>
      <c r="O3" s="67" t="n">
        <v>150</v>
      </c>
    </row>
    <row r="4" customFormat="false" ht="18" hidden="false" customHeight="true" outlineLevel="0" collapsed="false">
      <c r="A4" s="47" t="s">
        <v>283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8" t="s">
        <v>211</v>
      </c>
      <c r="M4" s="73"/>
      <c r="N4" s="73"/>
      <c r="O4" s="67" t="n">
        <v>150</v>
      </c>
    </row>
    <row r="5" customFormat="false" ht="18" hidden="false" customHeight="true" outlineLevel="0" collapsed="false">
      <c r="A5" s="47" t="s">
        <v>284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8" t="s">
        <v>211</v>
      </c>
      <c r="M5" s="73"/>
      <c r="N5" s="73"/>
      <c r="O5" s="67" t="n">
        <v>150</v>
      </c>
    </row>
    <row r="6" customFormat="false" ht="18" hidden="false" customHeight="true" outlineLevel="0" collapsed="false">
      <c r="A6" s="47" t="s">
        <v>285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8" t="s">
        <v>211</v>
      </c>
      <c r="M6" s="73"/>
      <c r="N6" s="73"/>
      <c r="O6" s="67" t="n">
        <v>150</v>
      </c>
    </row>
    <row r="7" customFormat="false" ht="18" hidden="false" customHeight="true" outlineLevel="0" collapsed="false">
      <c r="A7" s="47" t="s">
        <v>286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8" t="s">
        <v>211</v>
      </c>
      <c r="M7" s="73"/>
      <c r="N7" s="73"/>
      <c r="O7" s="67" t="n">
        <v>150</v>
      </c>
    </row>
    <row r="8" customFormat="false" ht="18" hidden="false" customHeight="true" outlineLevel="0" collapsed="false">
      <c r="A8" s="47" t="s">
        <v>287</v>
      </c>
      <c r="B8" s="72"/>
      <c r="C8" s="72"/>
      <c r="D8" s="72"/>
      <c r="E8" s="72"/>
      <c r="F8" s="72"/>
      <c r="G8" s="72"/>
      <c r="H8" s="72"/>
      <c r="I8" s="72"/>
      <c r="J8" s="72"/>
      <c r="K8" s="72"/>
      <c r="L8" s="8" t="s">
        <v>211</v>
      </c>
      <c r="M8" s="73"/>
      <c r="N8" s="73"/>
      <c r="O8" s="67" t="n">
        <v>150</v>
      </c>
    </row>
    <row r="9" customFormat="false" ht="18" hidden="false" customHeight="true" outlineLevel="0" collapsed="false">
      <c r="A9" s="47" t="s">
        <v>288</v>
      </c>
      <c r="B9" s="72"/>
      <c r="C9" s="72"/>
      <c r="D9" s="72"/>
      <c r="E9" s="72"/>
      <c r="F9" s="72"/>
      <c r="G9" s="72"/>
      <c r="H9" s="72"/>
      <c r="I9" s="72"/>
      <c r="J9" s="72"/>
      <c r="K9" s="72"/>
      <c r="L9" s="8" t="s">
        <v>211</v>
      </c>
      <c r="M9" s="73"/>
      <c r="N9" s="73"/>
      <c r="O9" s="67" t="n">
        <v>150</v>
      </c>
    </row>
    <row r="10" customFormat="false" ht="18" hidden="false" customHeight="true" outlineLevel="0" collapsed="false">
      <c r="A10" s="47" t="s">
        <v>289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8" t="s">
        <v>211</v>
      </c>
      <c r="M10" s="73"/>
      <c r="N10" s="73"/>
      <c r="O10" s="67" t="n">
        <v>150</v>
      </c>
    </row>
    <row r="11" customFormat="false" ht="18" hidden="false" customHeight="true" outlineLevel="0" collapsed="false">
      <c r="A11" s="47" t="s">
        <v>290</v>
      </c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8" t="s">
        <v>211</v>
      </c>
      <c r="M11" s="73"/>
      <c r="N11" s="73"/>
      <c r="O11" s="67" t="n">
        <v>150</v>
      </c>
    </row>
    <row r="12" customFormat="false" ht="19.5" hidden="false" customHeight="true" outlineLevel="0" collapsed="false">
      <c r="A12" s="74" t="s">
        <v>291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</row>
    <row r="13" customFormat="false" ht="18" hidden="false" customHeight="true" outlineLevel="0" collapsed="false">
      <c r="A13" s="47" t="s">
        <v>292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8" t="s">
        <v>211</v>
      </c>
      <c r="M13" s="73"/>
      <c r="N13" s="73"/>
      <c r="O13" s="67" t="n">
        <v>150</v>
      </c>
    </row>
    <row r="14" customFormat="false" ht="18" hidden="false" customHeight="true" outlineLevel="0" collapsed="false">
      <c r="A14" s="47" t="s">
        <v>293</v>
      </c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8" t="s">
        <v>211</v>
      </c>
      <c r="M14" s="73"/>
      <c r="N14" s="73"/>
      <c r="O14" s="67" t="n">
        <v>150</v>
      </c>
    </row>
    <row r="15" customFormat="false" ht="18" hidden="false" customHeight="true" outlineLevel="0" collapsed="false">
      <c r="A15" s="47" t="s">
        <v>294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8" t="s">
        <v>211</v>
      </c>
      <c r="M15" s="73"/>
      <c r="N15" s="73"/>
      <c r="O15" s="67" t="n">
        <v>150</v>
      </c>
    </row>
    <row r="16" customFormat="false" ht="18" hidden="false" customHeight="true" outlineLevel="0" collapsed="false">
      <c r="A16" s="47" t="s">
        <v>295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8" t="s">
        <v>211</v>
      </c>
      <c r="M16" s="73"/>
      <c r="N16" s="73"/>
      <c r="O16" s="67" t="n">
        <v>150</v>
      </c>
    </row>
    <row r="17" customFormat="false" ht="18" hidden="false" customHeight="true" outlineLevel="0" collapsed="false">
      <c r="A17" s="47" t="s">
        <v>296</v>
      </c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8" t="s">
        <v>211</v>
      </c>
      <c r="M17" s="73"/>
      <c r="N17" s="73"/>
      <c r="O17" s="67" t="n">
        <v>150</v>
      </c>
    </row>
    <row r="18" customFormat="false" ht="18" hidden="false" customHeight="true" outlineLevel="0" collapsed="false">
      <c r="A18" s="47" t="s">
        <v>297</v>
      </c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8" t="s">
        <v>211</v>
      </c>
      <c r="M18" s="73"/>
      <c r="N18" s="73"/>
      <c r="O18" s="67" t="n">
        <v>150</v>
      </c>
    </row>
    <row r="19" customFormat="false" ht="18" hidden="false" customHeight="true" outlineLevel="0" collapsed="false">
      <c r="A19" s="47" t="s">
        <v>298</v>
      </c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8" t="s">
        <v>211</v>
      </c>
      <c r="M19" s="73"/>
      <c r="N19" s="73"/>
      <c r="O19" s="67" t="n">
        <v>150</v>
      </c>
    </row>
  </sheetData>
  <mergeCells count="2">
    <mergeCell ref="A2:O2"/>
    <mergeCell ref="A12:O12"/>
  </mergeCells>
  <conditionalFormatting sqref="E3:J11 E13:J19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"Pas OK"</formula>
    </cfRule>
  </conditionalFormatting>
  <conditionalFormatting sqref="K3:K11 K13:K19">
    <cfRule type="cellIs" priority="4" operator="equal" aboveAverage="0" equalAverage="0" bottom="0" percent="0" rank="0" text="" dxfId="0">
      <formula>"OK"</formula>
    </cfRule>
    <cfRule type="cellIs" priority="5" operator="equal" aboveAverage="0" equalAverage="0" bottom="0" percent="0" rank="0" text="" dxfId="1">
      <formula>"Pas OK"</formula>
    </cfRule>
    <cfRule type="cellIs" priority="6" operator="equal" aboveAverage="0" equalAverage="0" bottom="0" percent="0" rank="0" text="" dxfId="2">
      <formula>"Partiel"</formula>
    </cfRule>
  </conditionalFormatting>
  <conditionalFormatting sqref="L3:L11 L13:L19">
    <cfRule type="cellIs" priority="7" operator="equal" aboveAverage="0" equalAverage="0" bottom="0" percent="0" rank="0" text="" dxfId="0">
      <formula>"Fait"</formula>
    </cfRule>
    <cfRule type="cellIs" priority="8" operator="equal" aboveAverage="0" equalAverage="0" bottom="0" percent="0" rank="0" text="" dxfId="1">
      <formula>"A faire"</formula>
    </cfRule>
    <cfRule type="cellIs" priority="9" operator="equal" aboveAverage="0" equalAverage="0" bottom="0" percent="0" rank="0" text="" dxfId="2">
      <formula>"En cours"</formula>
    </cfRule>
  </conditionalFormatting>
  <conditionalFormatting sqref="C3:D11 C13:D19">
    <cfRule type="cellIs" priority="10" operator="equal" aboveAverage="0" equalAverage="0" bottom="0" percent="0" rank="0" text="" dxfId="3">
      <formula>"N/A"</formula>
    </cfRule>
  </conditionalFormatting>
  <dataValidations count="12">
    <dataValidation allowBlank="true" errorStyle="stop" operator="equal" showDropDown="false" showErrorMessage="false" showInputMessage="false" sqref="B3:B11" type="list">
      <formula1>"T630,T640,T655"</formula1>
      <formula2>0</formula2>
    </dataValidation>
    <dataValidation allowBlank="true" errorStyle="stop" operator="equal" showDropDown="false" showErrorMessage="false" showInputMessage="false" sqref="C3:C11" type="list">
      <formula1>"ZD621,ZD620,GX420d,N/A"</formula1>
      <formula2>0</formula2>
    </dataValidation>
    <dataValidation allowBlank="true" errorStyle="stop" operator="equal" showDropDown="false" showErrorMessage="false" showInputMessage="false" sqref="D3:D11" type="list">
      <formula1>"ZT411,ZT410,N/A"</formula1>
      <formula2>0</formula2>
    </dataValidation>
    <dataValidation allowBlank="true" errorStyle="stop" operator="equal" showDropDown="false" showErrorMessage="false" showInputMessage="false" sqref="E3:J11" type="list">
      <formula1>"OK,Pas OK"</formula1>
      <formula2>0</formula2>
    </dataValidation>
    <dataValidation allowBlank="true" errorStyle="stop" operator="equal" showDropDown="false" showErrorMessage="false" showInputMessage="false" sqref="K3:K11" type="list">
      <formula1>"OK,Pas OK,Partiel"</formula1>
      <formula2>0</formula2>
    </dataValidation>
    <dataValidation allowBlank="true" errorStyle="stop" operator="equal" showDropDown="false" showErrorMessage="false" showInputMessage="false" sqref="L3:L11" type="list">
      <formula1>"Fait,En cours,A faire"</formula1>
      <formula2>0</formula2>
    </dataValidation>
    <dataValidation allowBlank="true" errorStyle="stop" operator="equal" showDropDown="false" showErrorMessage="false" showInputMessage="false" sqref="B13:B19" type="list">
      <formula1>"T630,T640,T655"</formula1>
      <formula2>0</formula2>
    </dataValidation>
    <dataValidation allowBlank="true" errorStyle="stop" operator="equal" showDropDown="false" showErrorMessage="false" showInputMessage="false" sqref="C13:C19" type="list">
      <formula1>"ZD621,ZD620,GX420d,N/A"</formula1>
      <formula2>0</formula2>
    </dataValidation>
    <dataValidation allowBlank="true" errorStyle="stop" operator="equal" showDropDown="false" showErrorMessage="false" showInputMessage="false" sqref="D13:D19" type="list">
      <formula1>"ZT411,ZT410,N/A"</formula1>
      <formula2>0</formula2>
    </dataValidation>
    <dataValidation allowBlank="true" errorStyle="stop" operator="equal" showDropDown="false" showErrorMessage="false" showInputMessage="false" sqref="E13:J19" type="list">
      <formula1>"OK,Pas OK"</formula1>
      <formula2>0</formula2>
    </dataValidation>
    <dataValidation allowBlank="true" errorStyle="stop" operator="equal" showDropDown="false" showErrorMessage="false" showInputMessage="false" sqref="K13:K19" type="list">
      <formula1>"OK,Pas OK,Partiel"</formula1>
      <formula2>0</formula2>
    </dataValidation>
    <dataValidation allowBlank="true" errorStyle="stop" operator="equal" showDropDown="false" showErrorMessage="false" showInputMessage="false" sqref="L13:L19" type="list">
      <formula1>"Fait,En cours,A faire"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38:38 A1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1"/>
    <col collapsed="false" customWidth="true" hidden="false" outlineLevel="0" max="4" min="3" style="1" width="15"/>
    <col collapsed="false" customWidth="true" hidden="false" outlineLevel="0" max="12" min="5" style="1" width="13"/>
    <col collapsed="false" customWidth="true" hidden="false" outlineLevel="0" max="13" min="13" style="1" width="32"/>
    <col collapsed="false" customWidth="true" hidden="false" outlineLevel="0" max="14" min="14" style="1" width="38"/>
    <col collapsed="false" customWidth="true" hidden="false" outlineLevel="0" max="15" min="15" style="1" width="14"/>
  </cols>
  <sheetData>
    <row r="1" customFormat="false" ht="31.5" hidden="false" customHeight="true" outlineLevel="0" collapsed="false">
      <c r="A1" s="70" t="s">
        <v>201</v>
      </c>
      <c r="B1" s="70" t="s">
        <v>202</v>
      </c>
      <c r="C1" s="70" t="s">
        <v>166</v>
      </c>
      <c r="D1" s="70" t="s">
        <v>167</v>
      </c>
      <c r="E1" s="70" t="s">
        <v>155</v>
      </c>
      <c r="F1" s="70" t="s">
        <v>156</v>
      </c>
      <c r="G1" s="70" t="s">
        <v>157</v>
      </c>
      <c r="H1" s="70" t="s">
        <v>158</v>
      </c>
      <c r="I1" s="70" t="s">
        <v>159</v>
      </c>
      <c r="J1" s="70" t="s">
        <v>160</v>
      </c>
      <c r="K1" s="70" t="s">
        <v>161</v>
      </c>
      <c r="L1" s="70" t="s">
        <v>203</v>
      </c>
      <c r="M1" s="70" t="s">
        <v>204</v>
      </c>
      <c r="N1" s="70" t="s">
        <v>205</v>
      </c>
      <c r="O1" s="70" t="s">
        <v>206</v>
      </c>
    </row>
    <row r="2" customFormat="false" ht="18" hidden="false" customHeight="true" outlineLevel="0" collapsed="false">
      <c r="A2" s="47" t="s">
        <v>299</v>
      </c>
      <c r="B2" s="72"/>
      <c r="C2" s="8" t="s">
        <v>210</v>
      </c>
      <c r="D2" s="72"/>
      <c r="E2" s="72"/>
      <c r="F2" s="72"/>
      <c r="G2" s="72"/>
      <c r="H2" s="72"/>
      <c r="I2" s="72"/>
      <c r="J2" s="72"/>
      <c r="K2" s="72"/>
      <c r="L2" s="8" t="s">
        <v>211</v>
      </c>
      <c r="M2" s="73"/>
      <c r="N2" s="73"/>
      <c r="O2" s="67" t="n">
        <v>180</v>
      </c>
    </row>
    <row r="3" customFormat="false" ht="18" hidden="false" customHeight="true" outlineLevel="0" collapsed="false">
      <c r="A3" s="47" t="s">
        <v>300</v>
      </c>
      <c r="B3" s="72"/>
      <c r="C3" s="8" t="s">
        <v>210</v>
      </c>
      <c r="D3" s="72"/>
      <c r="E3" s="72"/>
      <c r="F3" s="72"/>
      <c r="G3" s="72"/>
      <c r="H3" s="72"/>
      <c r="I3" s="72"/>
      <c r="J3" s="72"/>
      <c r="K3" s="72"/>
      <c r="L3" s="8" t="s">
        <v>211</v>
      </c>
      <c r="M3" s="73"/>
      <c r="N3" s="73"/>
      <c r="O3" s="67" t="n">
        <v>180</v>
      </c>
    </row>
    <row r="4" customFormat="false" ht="18" hidden="false" customHeight="true" outlineLevel="0" collapsed="false">
      <c r="A4" s="47" t="s">
        <v>301</v>
      </c>
      <c r="B4" s="72"/>
      <c r="C4" s="8" t="s">
        <v>210</v>
      </c>
      <c r="D4" s="72"/>
      <c r="E4" s="72"/>
      <c r="F4" s="72"/>
      <c r="G4" s="72"/>
      <c r="H4" s="72"/>
      <c r="I4" s="72"/>
      <c r="J4" s="72"/>
      <c r="K4" s="72"/>
      <c r="L4" s="8" t="s">
        <v>211</v>
      </c>
      <c r="M4" s="73"/>
      <c r="N4" s="73"/>
      <c r="O4" s="67" t="n">
        <v>180</v>
      </c>
    </row>
    <row r="5" customFormat="false" ht="18" hidden="false" customHeight="true" outlineLevel="0" collapsed="false">
      <c r="A5" s="47" t="s">
        <v>302</v>
      </c>
      <c r="B5" s="72"/>
      <c r="C5" s="8" t="s">
        <v>210</v>
      </c>
      <c r="D5" s="72"/>
      <c r="E5" s="72"/>
      <c r="F5" s="72"/>
      <c r="G5" s="72"/>
      <c r="H5" s="72"/>
      <c r="I5" s="72"/>
      <c r="J5" s="72"/>
      <c r="K5" s="72"/>
      <c r="L5" s="8" t="s">
        <v>211</v>
      </c>
      <c r="M5" s="73"/>
      <c r="N5" s="73"/>
      <c r="O5" s="67" t="n">
        <v>180</v>
      </c>
    </row>
  </sheetData>
  <conditionalFormatting sqref="E2:J5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"Pas OK"</formula>
    </cfRule>
  </conditionalFormatting>
  <conditionalFormatting sqref="K2:K5">
    <cfRule type="cellIs" priority="4" operator="equal" aboveAverage="0" equalAverage="0" bottom="0" percent="0" rank="0" text="" dxfId="0">
      <formula>"OK"</formula>
    </cfRule>
    <cfRule type="cellIs" priority="5" operator="equal" aboveAverage="0" equalAverage="0" bottom="0" percent="0" rank="0" text="" dxfId="1">
      <formula>"Pas OK"</formula>
    </cfRule>
    <cfRule type="cellIs" priority="6" operator="equal" aboveAverage="0" equalAverage="0" bottom="0" percent="0" rank="0" text="" dxfId="2">
      <formula>"Partiel"</formula>
    </cfRule>
  </conditionalFormatting>
  <conditionalFormatting sqref="L2:L5">
    <cfRule type="cellIs" priority="7" operator="equal" aboveAverage="0" equalAverage="0" bottom="0" percent="0" rank="0" text="" dxfId="0">
      <formula>"Fait"</formula>
    </cfRule>
    <cfRule type="cellIs" priority="8" operator="equal" aboveAverage="0" equalAverage="0" bottom="0" percent="0" rank="0" text="" dxfId="1">
      <formula>"A faire"</formula>
    </cfRule>
    <cfRule type="cellIs" priority="9" operator="equal" aboveAverage="0" equalAverage="0" bottom="0" percent="0" rank="0" text="" dxfId="2">
      <formula>"En cours"</formula>
    </cfRule>
  </conditionalFormatting>
  <conditionalFormatting sqref="C2:D5">
    <cfRule type="cellIs" priority="10" operator="equal" aboveAverage="0" equalAverage="0" bottom="0" percent="0" rank="0" text="" dxfId="3">
      <formula>"N/A"</formula>
    </cfRule>
  </conditionalFormatting>
  <dataValidations count="6">
    <dataValidation allowBlank="true" errorStyle="stop" operator="equal" showDropDown="false" showErrorMessage="false" showInputMessage="false" sqref="B2:B5" type="list">
      <formula1>"T630,T640,T655"</formula1>
      <formula2>0</formula2>
    </dataValidation>
    <dataValidation allowBlank="true" errorStyle="stop" operator="equal" showDropDown="false" showErrorMessage="false" showInputMessage="false" sqref="C2:C5" type="list">
      <formula1>"ZD621,ZD620,GX420d,N/A"</formula1>
      <formula2>0</formula2>
    </dataValidation>
    <dataValidation allowBlank="true" errorStyle="stop" operator="equal" showDropDown="false" showErrorMessage="false" showInputMessage="false" sqref="D2:D5" type="list">
      <formula1>"ZT411,ZT410,N/A"</formula1>
      <formula2>0</formula2>
    </dataValidation>
    <dataValidation allowBlank="true" errorStyle="stop" operator="equal" showDropDown="false" showErrorMessage="false" showInputMessage="false" sqref="E2:J5" type="list">
      <formula1>"OK,Pas OK"</formula1>
      <formula2>0</formula2>
    </dataValidation>
    <dataValidation allowBlank="true" errorStyle="stop" operator="equal" showDropDown="false" showErrorMessage="false" showInputMessage="false" sqref="K2:K5" type="list">
      <formula1>"OK,Pas OK,Partiel"</formula1>
      <formula2>0</formula2>
    </dataValidation>
    <dataValidation allowBlank="true" errorStyle="stop" operator="equal" showDropDown="false" showErrorMessage="false" showInputMessage="false" sqref="L2:L5" type="list">
      <formula1>"Fait,En cours,A faire"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5" activePane="bottomLeft" state="frozen"/>
      <selection pane="topLeft" activeCell="A1" activeCellId="0" sqref="A1"/>
      <selection pane="bottomLeft" activeCell="A2" activeCellId="1" sqref="38:38 A2"/>
    </sheetView>
  </sheetViews>
  <sheetFormatPr defaultColWidth="8.6796875" defaultRowHeight="12.8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1"/>
    <col collapsed="false" customWidth="true" hidden="false" outlineLevel="0" max="4" min="3" style="1" width="15"/>
    <col collapsed="false" customWidth="true" hidden="false" outlineLevel="0" max="12" min="5" style="1" width="13"/>
    <col collapsed="false" customWidth="true" hidden="false" outlineLevel="0" max="13" min="13" style="1" width="32"/>
    <col collapsed="false" customWidth="true" hidden="false" outlineLevel="0" max="14" min="14" style="1" width="38"/>
    <col collapsed="false" customWidth="true" hidden="false" outlineLevel="0" max="15" min="15" style="1" width="14"/>
  </cols>
  <sheetData>
    <row r="1" customFormat="false" ht="31.5" hidden="false" customHeight="true" outlineLevel="0" collapsed="false">
      <c r="A1" s="70" t="s">
        <v>201</v>
      </c>
      <c r="B1" s="70" t="s">
        <v>202</v>
      </c>
      <c r="C1" s="70" t="s">
        <v>166</v>
      </c>
      <c r="D1" s="70" t="s">
        <v>167</v>
      </c>
      <c r="E1" s="70" t="s">
        <v>155</v>
      </c>
      <c r="F1" s="70" t="s">
        <v>156</v>
      </c>
      <c r="G1" s="70" t="s">
        <v>157</v>
      </c>
      <c r="H1" s="70" t="s">
        <v>158</v>
      </c>
      <c r="I1" s="70" t="s">
        <v>159</v>
      </c>
      <c r="J1" s="70" t="s">
        <v>160</v>
      </c>
      <c r="K1" s="70" t="s">
        <v>161</v>
      </c>
      <c r="L1" s="70" t="s">
        <v>203</v>
      </c>
      <c r="M1" s="70" t="s">
        <v>204</v>
      </c>
      <c r="N1" s="70" t="s">
        <v>205</v>
      </c>
      <c r="O1" s="70" t="s">
        <v>206</v>
      </c>
    </row>
    <row r="2" customFormat="false" ht="18" hidden="false" customHeight="true" outlineLevel="0" collapsed="false">
      <c r="A2" s="47" t="s">
        <v>303</v>
      </c>
      <c r="B2" s="8" t="s">
        <v>209</v>
      </c>
      <c r="C2" s="72"/>
      <c r="D2" s="8" t="s">
        <v>210</v>
      </c>
      <c r="E2" s="72"/>
      <c r="F2" s="72"/>
      <c r="G2" s="72"/>
      <c r="H2" s="72"/>
      <c r="I2" s="72"/>
      <c r="J2" s="72"/>
      <c r="K2" s="72"/>
      <c r="L2" s="8" t="s">
        <v>211</v>
      </c>
      <c r="M2" s="73"/>
      <c r="N2" s="73"/>
      <c r="O2" s="67" t="n">
        <v>90</v>
      </c>
    </row>
    <row r="3" customFormat="false" ht="18" hidden="false" customHeight="true" outlineLevel="0" collapsed="false">
      <c r="A3" s="47" t="s">
        <v>304</v>
      </c>
      <c r="B3" s="8" t="s">
        <v>209</v>
      </c>
      <c r="C3" s="72"/>
      <c r="D3" s="8" t="s">
        <v>210</v>
      </c>
      <c r="E3" s="72"/>
      <c r="F3" s="72"/>
      <c r="G3" s="72"/>
      <c r="H3" s="72"/>
      <c r="I3" s="72"/>
      <c r="J3" s="72"/>
      <c r="K3" s="72"/>
      <c r="L3" s="8" t="s">
        <v>211</v>
      </c>
      <c r="M3" s="73"/>
      <c r="N3" s="73"/>
      <c r="O3" s="67" t="n">
        <v>90</v>
      </c>
    </row>
    <row r="4" customFormat="false" ht="18" hidden="false" customHeight="true" outlineLevel="0" collapsed="false">
      <c r="A4" s="47" t="s">
        <v>305</v>
      </c>
      <c r="B4" s="8" t="s">
        <v>209</v>
      </c>
      <c r="C4" s="72"/>
      <c r="D4" s="8" t="s">
        <v>210</v>
      </c>
      <c r="E4" s="72"/>
      <c r="F4" s="72"/>
      <c r="G4" s="72"/>
      <c r="H4" s="72"/>
      <c r="I4" s="72"/>
      <c r="J4" s="72"/>
      <c r="K4" s="72"/>
      <c r="L4" s="8" t="s">
        <v>211</v>
      </c>
      <c r="M4" s="73"/>
      <c r="N4" s="73"/>
      <c r="O4" s="67" t="n">
        <v>90</v>
      </c>
    </row>
    <row r="5" customFormat="false" ht="18" hidden="false" customHeight="true" outlineLevel="0" collapsed="false">
      <c r="A5" s="47" t="s">
        <v>306</v>
      </c>
      <c r="B5" s="8" t="s">
        <v>209</v>
      </c>
      <c r="C5" s="72"/>
      <c r="D5" s="8" t="s">
        <v>210</v>
      </c>
      <c r="E5" s="72"/>
      <c r="F5" s="72"/>
      <c r="G5" s="72"/>
      <c r="H5" s="72"/>
      <c r="I5" s="72"/>
      <c r="J5" s="72"/>
      <c r="K5" s="72"/>
      <c r="L5" s="8" t="s">
        <v>211</v>
      </c>
      <c r="M5" s="73"/>
      <c r="N5" s="73"/>
      <c r="O5" s="67" t="n">
        <v>90</v>
      </c>
    </row>
    <row r="6" customFormat="false" ht="18" hidden="false" customHeight="true" outlineLevel="0" collapsed="false">
      <c r="A6" s="47" t="s">
        <v>307</v>
      </c>
      <c r="B6" s="8" t="s">
        <v>209</v>
      </c>
      <c r="C6" s="72"/>
      <c r="D6" s="8" t="s">
        <v>210</v>
      </c>
      <c r="E6" s="72"/>
      <c r="F6" s="72"/>
      <c r="G6" s="72"/>
      <c r="H6" s="72"/>
      <c r="I6" s="72"/>
      <c r="J6" s="72"/>
      <c r="K6" s="72"/>
      <c r="L6" s="8" t="s">
        <v>211</v>
      </c>
      <c r="M6" s="73"/>
      <c r="N6" s="73"/>
      <c r="O6" s="67" t="n">
        <v>90</v>
      </c>
    </row>
    <row r="7" customFormat="false" ht="18" hidden="false" customHeight="true" outlineLevel="0" collapsed="false">
      <c r="A7" s="47" t="s">
        <v>308</v>
      </c>
      <c r="B7" s="8" t="s">
        <v>209</v>
      </c>
      <c r="C7" s="72"/>
      <c r="D7" s="8" t="s">
        <v>210</v>
      </c>
      <c r="E7" s="72"/>
      <c r="F7" s="72"/>
      <c r="G7" s="72"/>
      <c r="H7" s="72"/>
      <c r="I7" s="72"/>
      <c r="J7" s="72"/>
      <c r="K7" s="72"/>
      <c r="L7" s="8" t="s">
        <v>211</v>
      </c>
      <c r="M7" s="73"/>
      <c r="N7" s="73"/>
      <c r="O7" s="67" t="n">
        <v>90</v>
      </c>
    </row>
    <row r="8" customFormat="false" ht="18" hidden="false" customHeight="true" outlineLevel="0" collapsed="false">
      <c r="A8" s="47" t="s">
        <v>309</v>
      </c>
      <c r="B8" s="8" t="s">
        <v>209</v>
      </c>
      <c r="C8" s="72"/>
      <c r="D8" s="8" t="s">
        <v>210</v>
      </c>
      <c r="E8" s="72"/>
      <c r="F8" s="72"/>
      <c r="G8" s="72"/>
      <c r="H8" s="72"/>
      <c r="I8" s="72"/>
      <c r="J8" s="72"/>
      <c r="K8" s="72"/>
      <c r="L8" s="8" t="s">
        <v>211</v>
      </c>
      <c r="M8" s="73"/>
      <c r="N8" s="73"/>
      <c r="O8" s="67" t="n">
        <v>90</v>
      </c>
    </row>
    <row r="9" customFormat="false" ht="18" hidden="false" customHeight="true" outlineLevel="0" collapsed="false">
      <c r="A9" s="47" t="s">
        <v>310</v>
      </c>
      <c r="B9" s="8" t="s">
        <v>209</v>
      </c>
      <c r="C9" s="72"/>
      <c r="D9" s="8" t="s">
        <v>210</v>
      </c>
      <c r="E9" s="72"/>
      <c r="F9" s="72"/>
      <c r="G9" s="72"/>
      <c r="H9" s="72"/>
      <c r="I9" s="72"/>
      <c r="J9" s="72"/>
      <c r="K9" s="72"/>
      <c r="L9" s="8" t="s">
        <v>211</v>
      </c>
      <c r="M9" s="73"/>
      <c r="N9" s="73"/>
      <c r="O9" s="67" t="n">
        <v>90</v>
      </c>
    </row>
    <row r="10" customFormat="false" ht="18" hidden="false" customHeight="true" outlineLevel="0" collapsed="false">
      <c r="A10" s="47" t="s">
        <v>311</v>
      </c>
      <c r="B10" s="8" t="s">
        <v>209</v>
      </c>
      <c r="C10" s="72"/>
      <c r="D10" s="8" t="s">
        <v>210</v>
      </c>
      <c r="E10" s="72"/>
      <c r="F10" s="72"/>
      <c r="G10" s="72"/>
      <c r="H10" s="72"/>
      <c r="I10" s="72"/>
      <c r="J10" s="72"/>
      <c r="K10" s="72"/>
      <c r="L10" s="8" t="s">
        <v>211</v>
      </c>
      <c r="M10" s="73"/>
      <c r="N10" s="73"/>
      <c r="O10" s="67" t="n">
        <v>90</v>
      </c>
    </row>
    <row r="11" customFormat="false" ht="18" hidden="false" customHeight="true" outlineLevel="0" collapsed="false">
      <c r="A11" s="47" t="s">
        <v>312</v>
      </c>
      <c r="B11" s="8" t="s">
        <v>209</v>
      </c>
      <c r="C11" s="72"/>
      <c r="D11" s="8" t="s">
        <v>210</v>
      </c>
      <c r="E11" s="72"/>
      <c r="F11" s="72"/>
      <c r="G11" s="72"/>
      <c r="H11" s="72"/>
      <c r="I11" s="72"/>
      <c r="J11" s="72"/>
      <c r="K11" s="72"/>
      <c r="L11" s="8" t="s">
        <v>211</v>
      </c>
      <c r="M11" s="73"/>
      <c r="N11" s="73"/>
      <c r="O11" s="67" t="n">
        <v>90</v>
      </c>
    </row>
    <row r="12" customFormat="false" ht="18" hidden="false" customHeight="true" outlineLevel="0" collapsed="false">
      <c r="A12" s="47" t="s">
        <v>313</v>
      </c>
      <c r="B12" s="8" t="s">
        <v>209</v>
      </c>
      <c r="C12" s="72"/>
      <c r="D12" s="8" t="s">
        <v>210</v>
      </c>
      <c r="E12" s="72"/>
      <c r="F12" s="72"/>
      <c r="G12" s="72"/>
      <c r="H12" s="72"/>
      <c r="I12" s="72"/>
      <c r="J12" s="72"/>
      <c r="K12" s="72"/>
      <c r="L12" s="8" t="s">
        <v>211</v>
      </c>
      <c r="M12" s="73"/>
      <c r="N12" s="73"/>
      <c r="O12" s="67" t="n">
        <v>90</v>
      </c>
    </row>
    <row r="13" customFormat="false" ht="18" hidden="false" customHeight="true" outlineLevel="0" collapsed="false">
      <c r="A13" s="47" t="s">
        <v>314</v>
      </c>
      <c r="B13" s="8" t="s">
        <v>209</v>
      </c>
      <c r="C13" s="72"/>
      <c r="D13" s="8" t="s">
        <v>210</v>
      </c>
      <c r="E13" s="72"/>
      <c r="F13" s="72"/>
      <c r="G13" s="72"/>
      <c r="H13" s="72"/>
      <c r="I13" s="72"/>
      <c r="J13" s="72"/>
      <c r="K13" s="72"/>
      <c r="L13" s="8" t="s">
        <v>211</v>
      </c>
      <c r="M13" s="73"/>
      <c r="N13" s="73"/>
      <c r="O13" s="67" t="n">
        <v>90</v>
      </c>
    </row>
    <row r="14" customFormat="false" ht="18" hidden="false" customHeight="true" outlineLevel="0" collapsed="false">
      <c r="A14" s="47" t="s">
        <v>315</v>
      </c>
      <c r="B14" s="8" t="s">
        <v>209</v>
      </c>
      <c r="C14" s="72"/>
      <c r="D14" s="8" t="s">
        <v>210</v>
      </c>
      <c r="E14" s="72"/>
      <c r="F14" s="72"/>
      <c r="G14" s="72"/>
      <c r="H14" s="72"/>
      <c r="I14" s="72"/>
      <c r="J14" s="72"/>
      <c r="K14" s="72"/>
      <c r="L14" s="8" t="s">
        <v>211</v>
      </c>
      <c r="M14" s="73"/>
      <c r="N14" s="73"/>
      <c r="O14" s="67" t="n">
        <v>90</v>
      </c>
    </row>
    <row r="15" customFormat="false" ht="18" hidden="false" customHeight="true" outlineLevel="0" collapsed="false">
      <c r="A15" s="47" t="s">
        <v>316</v>
      </c>
      <c r="B15" s="8" t="s">
        <v>209</v>
      </c>
      <c r="C15" s="72"/>
      <c r="D15" s="8" t="s">
        <v>210</v>
      </c>
      <c r="E15" s="72"/>
      <c r="F15" s="72"/>
      <c r="G15" s="72"/>
      <c r="H15" s="72"/>
      <c r="I15" s="72"/>
      <c r="J15" s="72"/>
      <c r="K15" s="72"/>
      <c r="L15" s="8" t="s">
        <v>211</v>
      </c>
      <c r="M15" s="73"/>
      <c r="N15" s="73"/>
      <c r="O15" s="67" t="n">
        <v>90</v>
      </c>
    </row>
    <row r="16" customFormat="false" ht="18" hidden="false" customHeight="true" outlineLevel="0" collapsed="false">
      <c r="A16" s="47" t="s">
        <v>317</v>
      </c>
      <c r="B16" s="8" t="s">
        <v>209</v>
      </c>
      <c r="C16" s="72"/>
      <c r="D16" s="8" t="s">
        <v>210</v>
      </c>
      <c r="E16" s="72"/>
      <c r="F16" s="72"/>
      <c r="G16" s="72"/>
      <c r="H16" s="72"/>
      <c r="I16" s="72"/>
      <c r="J16" s="72"/>
      <c r="K16" s="72"/>
      <c r="L16" s="8" t="s">
        <v>211</v>
      </c>
      <c r="M16" s="73"/>
      <c r="N16" s="73"/>
      <c r="O16" s="67" t="n">
        <v>90</v>
      </c>
    </row>
    <row r="17" customFormat="false" ht="18" hidden="false" customHeight="true" outlineLevel="0" collapsed="false">
      <c r="A17" s="47" t="s">
        <v>318</v>
      </c>
      <c r="B17" s="8" t="s">
        <v>209</v>
      </c>
      <c r="C17" s="72"/>
      <c r="D17" s="8" t="s">
        <v>210</v>
      </c>
      <c r="E17" s="72"/>
      <c r="F17" s="72"/>
      <c r="G17" s="72"/>
      <c r="H17" s="72"/>
      <c r="I17" s="72"/>
      <c r="J17" s="72"/>
      <c r="K17" s="72"/>
      <c r="L17" s="8" t="s">
        <v>211</v>
      </c>
      <c r="M17" s="73"/>
      <c r="N17" s="73"/>
      <c r="O17" s="67" t="n">
        <v>90</v>
      </c>
    </row>
    <row r="18" customFormat="false" ht="18" hidden="false" customHeight="true" outlineLevel="0" collapsed="false">
      <c r="A18" s="47" t="s">
        <v>319</v>
      </c>
      <c r="B18" s="8" t="s">
        <v>209</v>
      </c>
      <c r="C18" s="72"/>
      <c r="D18" s="8" t="s">
        <v>210</v>
      </c>
      <c r="E18" s="72"/>
      <c r="F18" s="72"/>
      <c r="G18" s="72"/>
      <c r="H18" s="72"/>
      <c r="I18" s="72"/>
      <c r="J18" s="72"/>
      <c r="K18" s="72"/>
      <c r="L18" s="8" t="s">
        <v>211</v>
      </c>
      <c r="M18" s="73"/>
      <c r="N18" s="73"/>
      <c r="O18" s="67" t="n">
        <v>90</v>
      </c>
    </row>
    <row r="19" customFormat="false" ht="18" hidden="false" customHeight="true" outlineLevel="0" collapsed="false">
      <c r="A19" s="47" t="s">
        <v>320</v>
      </c>
      <c r="B19" s="8" t="s">
        <v>209</v>
      </c>
      <c r="C19" s="72"/>
      <c r="D19" s="8" t="s">
        <v>210</v>
      </c>
      <c r="E19" s="72"/>
      <c r="F19" s="72"/>
      <c r="G19" s="72"/>
      <c r="H19" s="72"/>
      <c r="I19" s="72"/>
      <c r="J19" s="72"/>
      <c r="K19" s="72"/>
      <c r="L19" s="8" t="s">
        <v>211</v>
      </c>
      <c r="M19" s="73"/>
      <c r="N19" s="73"/>
      <c r="O19" s="67" t="n">
        <v>90</v>
      </c>
    </row>
    <row r="20" customFormat="false" ht="18" hidden="false" customHeight="true" outlineLevel="0" collapsed="false">
      <c r="A20" s="47" t="s">
        <v>321</v>
      </c>
      <c r="B20" s="8" t="s">
        <v>209</v>
      </c>
      <c r="C20" s="72"/>
      <c r="D20" s="8" t="s">
        <v>210</v>
      </c>
      <c r="E20" s="72"/>
      <c r="F20" s="72"/>
      <c r="G20" s="72"/>
      <c r="H20" s="72"/>
      <c r="I20" s="72"/>
      <c r="J20" s="72"/>
      <c r="K20" s="72"/>
      <c r="L20" s="8" t="s">
        <v>211</v>
      </c>
      <c r="M20" s="73"/>
      <c r="N20" s="73"/>
      <c r="O20" s="67" t="n">
        <v>90</v>
      </c>
    </row>
    <row r="21" customFormat="false" ht="18" hidden="false" customHeight="true" outlineLevel="0" collapsed="false">
      <c r="A21" s="47" t="s">
        <v>322</v>
      </c>
      <c r="B21" s="8" t="s">
        <v>209</v>
      </c>
      <c r="C21" s="72"/>
      <c r="D21" s="8" t="s">
        <v>210</v>
      </c>
      <c r="E21" s="72"/>
      <c r="F21" s="72"/>
      <c r="G21" s="72"/>
      <c r="H21" s="72"/>
      <c r="I21" s="72"/>
      <c r="J21" s="72"/>
      <c r="K21" s="72"/>
      <c r="L21" s="8" t="s">
        <v>211</v>
      </c>
      <c r="M21" s="73"/>
      <c r="N21" s="73"/>
      <c r="O21" s="67" t="n">
        <v>90</v>
      </c>
    </row>
    <row r="22" customFormat="false" ht="18" hidden="false" customHeight="true" outlineLevel="0" collapsed="false">
      <c r="A22" s="47" t="s">
        <v>323</v>
      </c>
      <c r="B22" s="8" t="s">
        <v>209</v>
      </c>
      <c r="C22" s="72"/>
      <c r="D22" s="8" t="s">
        <v>210</v>
      </c>
      <c r="E22" s="72"/>
      <c r="F22" s="72"/>
      <c r="G22" s="72"/>
      <c r="H22" s="72"/>
      <c r="I22" s="72"/>
      <c r="J22" s="72"/>
      <c r="K22" s="72"/>
      <c r="L22" s="8" t="s">
        <v>211</v>
      </c>
      <c r="M22" s="73"/>
      <c r="N22" s="73"/>
      <c r="O22" s="67" t="n">
        <v>90</v>
      </c>
    </row>
    <row r="23" customFormat="false" ht="18" hidden="false" customHeight="true" outlineLevel="0" collapsed="false">
      <c r="A23" s="47" t="s">
        <v>324</v>
      </c>
      <c r="B23" s="8" t="s">
        <v>209</v>
      </c>
      <c r="C23" s="72"/>
      <c r="D23" s="8" t="s">
        <v>210</v>
      </c>
      <c r="E23" s="72"/>
      <c r="F23" s="72"/>
      <c r="G23" s="72"/>
      <c r="H23" s="72"/>
      <c r="I23" s="72"/>
      <c r="J23" s="72"/>
      <c r="K23" s="72"/>
      <c r="L23" s="8" t="s">
        <v>211</v>
      </c>
      <c r="M23" s="73"/>
      <c r="N23" s="73"/>
      <c r="O23" s="67" t="n">
        <v>90</v>
      </c>
    </row>
    <row r="24" customFormat="false" ht="18" hidden="false" customHeight="true" outlineLevel="0" collapsed="false">
      <c r="A24" s="47" t="s">
        <v>325</v>
      </c>
      <c r="B24" s="8" t="s">
        <v>209</v>
      </c>
      <c r="C24" s="72"/>
      <c r="D24" s="8" t="s">
        <v>210</v>
      </c>
      <c r="E24" s="72"/>
      <c r="F24" s="72"/>
      <c r="G24" s="72"/>
      <c r="H24" s="72"/>
      <c r="I24" s="72"/>
      <c r="J24" s="72"/>
      <c r="K24" s="72"/>
      <c r="L24" s="8" t="s">
        <v>211</v>
      </c>
      <c r="M24" s="73"/>
      <c r="N24" s="73"/>
      <c r="O24" s="67" t="n">
        <v>90</v>
      </c>
    </row>
    <row r="25" customFormat="false" ht="18" hidden="false" customHeight="true" outlineLevel="0" collapsed="false">
      <c r="A25" s="47" t="s">
        <v>326</v>
      </c>
      <c r="B25" s="8" t="s">
        <v>209</v>
      </c>
      <c r="C25" s="72"/>
      <c r="D25" s="8" t="s">
        <v>210</v>
      </c>
      <c r="E25" s="72"/>
      <c r="F25" s="72"/>
      <c r="G25" s="72"/>
      <c r="H25" s="72"/>
      <c r="I25" s="72"/>
      <c r="J25" s="72"/>
      <c r="K25" s="72"/>
      <c r="L25" s="8" t="s">
        <v>211</v>
      </c>
      <c r="M25" s="73"/>
      <c r="N25" s="73"/>
      <c r="O25" s="67" t="n">
        <v>90</v>
      </c>
    </row>
    <row r="26" customFormat="false" ht="18" hidden="false" customHeight="true" outlineLevel="0" collapsed="false">
      <c r="A26" s="47" t="s">
        <v>327</v>
      </c>
      <c r="B26" s="8" t="s">
        <v>209</v>
      </c>
      <c r="C26" s="72"/>
      <c r="D26" s="8" t="s">
        <v>210</v>
      </c>
      <c r="E26" s="72"/>
      <c r="F26" s="72"/>
      <c r="G26" s="72"/>
      <c r="H26" s="72"/>
      <c r="I26" s="72"/>
      <c r="J26" s="72"/>
      <c r="K26" s="72"/>
      <c r="L26" s="8" t="s">
        <v>211</v>
      </c>
      <c r="M26" s="73"/>
      <c r="N26" s="73"/>
      <c r="O26" s="67" t="n">
        <v>90</v>
      </c>
    </row>
    <row r="27" customFormat="false" ht="18" hidden="false" customHeight="true" outlineLevel="0" collapsed="false">
      <c r="A27" s="47" t="s">
        <v>328</v>
      </c>
      <c r="B27" s="8" t="s">
        <v>209</v>
      </c>
      <c r="C27" s="72"/>
      <c r="D27" s="8" t="s">
        <v>210</v>
      </c>
      <c r="E27" s="72"/>
      <c r="F27" s="72"/>
      <c r="G27" s="72"/>
      <c r="H27" s="72"/>
      <c r="I27" s="72"/>
      <c r="J27" s="72"/>
      <c r="K27" s="72"/>
      <c r="L27" s="8" t="s">
        <v>211</v>
      </c>
      <c r="M27" s="73"/>
      <c r="N27" s="73"/>
      <c r="O27" s="67" t="n">
        <v>90</v>
      </c>
    </row>
    <row r="28" customFormat="false" ht="18" hidden="false" customHeight="true" outlineLevel="0" collapsed="false">
      <c r="A28" s="47" t="s">
        <v>329</v>
      </c>
      <c r="B28" s="8" t="s">
        <v>209</v>
      </c>
      <c r="C28" s="72"/>
      <c r="D28" s="8" t="s">
        <v>210</v>
      </c>
      <c r="E28" s="72"/>
      <c r="F28" s="72"/>
      <c r="G28" s="72"/>
      <c r="H28" s="72"/>
      <c r="I28" s="72"/>
      <c r="J28" s="72"/>
      <c r="K28" s="72"/>
      <c r="L28" s="8" t="s">
        <v>211</v>
      </c>
      <c r="M28" s="73"/>
      <c r="N28" s="73"/>
      <c r="O28" s="67" t="n">
        <v>90</v>
      </c>
    </row>
    <row r="29" customFormat="false" ht="18" hidden="false" customHeight="true" outlineLevel="0" collapsed="false">
      <c r="A29" s="47" t="s">
        <v>330</v>
      </c>
      <c r="B29" s="8" t="s">
        <v>209</v>
      </c>
      <c r="C29" s="72"/>
      <c r="D29" s="8" t="s">
        <v>210</v>
      </c>
      <c r="E29" s="72"/>
      <c r="F29" s="72"/>
      <c r="G29" s="72"/>
      <c r="H29" s="72"/>
      <c r="I29" s="72"/>
      <c r="J29" s="72"/>
      <c r="K29" s="72"/>
      <c r="L29" s="8" t="s">
        <v>211</v>
      </c>
      <c r="M29" s="73"/>
      <c r="N29" s="73"/>
      <c r="O29" s="67" t="n">
        <v>90</v>
      </c>
    </row>
    <row r="30" customFormat="false" ht="18" hidden="false" customHeight="true" outlineLevel="0" collapsed="false">
      <c r="A30" s="47" t="s">
        <v>331</v>
      </c>
      <c r="B30" s="8" t="s">
        <v>209</v>
      </c>
      <c r="C30" s="72"/>
      <c r="D30" s="8" t="s">
        <v>210</v>
      </c>
      <c r="E30" s="72"/>
      <c r="F30" s="72"/>
      <c r="G30" s="72"/>
      <c r="H30" s="72"/>
      <c r="I30" s="72"/>
      <c r="J30" s="72"/>
      <c r="K30" s="72"/>
      <c r="L30" s="8" t="s">
        <v>211</v>
      </c>
      <c r="M30" s="73"/>
      <c r="N30" s="73"/>
      <c r="O30" s="67" t="n">
        <v>90</v>
      </c>
    </row>
    <row r="31" customFormat="false" ht="18" hidden="false" customHeight="true" outlineLevel="0" collapsed="false">
      <c r="A31" s="47" t="s">
        <v>332</v>
      </c>
      <c r="B31" s="8" t="s">
        <v>209</v>
      </c>
      <c r="C31" s="72"/>
      <c r="D31" s="8" t="s">
        <v>210</v>
      </c>
      <c r="E31" s="72"/>
      <c r="F31" s="72"/>
      <c r="G31" s="72"/>
      <c r="H31" s="72"/>
      <c r="I31" s="72"/>
      <c r="J31" s="72"/>
      <c r="K31" s="72"/>
      <c r="L31" s="8" t="s">
        <v>211</v>
      </c>
      <c r="M31" s="73"/>
      <c r="N31" s="73"/>
      <c r="O31" s="67" t="n">
        <v>90</v>
      </c>
    </row>
    <row r="32" customFormat="false" ht="18" hidden="false" customHeight="true" outlineLevel="0" collapsed="false">
      <c r="A32" s="47" t="s">
        <v>333</v>
      </c>
      <c r="B32" s="8" t="s">
        <v>209</v>
      </c>
      <c r="C32" s="72"/>
      <c r="D32" s="8" t="s">
        <v>210</v>
      </c>
      <c r="E32" s="72"/>
      <c r="F32" s="72"/>
      <c r="G32" s="72"/>
      <c r="H32" s="72"/>
      <c r="I32" s="72"/>
      <c r="J32" s="72"/>
      <c r="K32" s="72"/>
      <c r="L32" s="8" t="s">
        <v>211</v>
      </c>
      <c r="M32" s="73"/>
      <c r="N32" s="73"/>
      <c r="O32" s="67" t="n">
        <v>90</v>
      </c>
    </row>
    <row r="33" customFormat="false" ht="18" hidden="false" customHeight="true" outlineLevel="0" collapsed="false">
      <c r="A33" s="47" t="s">
        <v>334</v>
      </c>
      <c r="B33" s="8" t="s">
        <v>209</v>
      </c>
      <c r="C33" s="72"/>
      <c r="D33" s="8" t="s">
        <v>210</v>
      </c>
      <c r="E33" s="72"/>
      <c r="F33" s="72"/>
      <c r="G33" s="72"/>
      <c r="H33" s="72"/>
      <c r="I33" s="72"/>
      <c r="J33" s="72"/>
      <c r="K33" s="72"/>
      <c r="L33" s="8" t="s">
        <v>211</v>
      </c>
      <c r="M33" s="73"/>
      <c r="N33" s="73"/>
      <c r="O33" s="67" t="n">
        <v>90</v>
      </c>
    </row>
    <row r="34" customFormat="false" ht="18" hidden="false" customHeight="true" outlineLevel="0" collapsed="false">
      <c r="A34" s="47" t="s">
        <v>335</v>
      </c>
      <c r="B34" s="8" t="s">
        <v>209</v>
      </c>
      <c r="C34" s="72"/>
      <c r="D34" s="8" t="s">
        <v>210</v>
      </c>
      <c r="E34" s="72"/>
      <c r="F34" s="72"/>
      <c r="G34" s="72"/>
      <c r="H34" s="72"/>
      <c r="I34" s="72"/>
      <c r="J34" s="72"/>
      <c r="K34" s="72"/>
      <c r="L34" s="8" t="s">
        <v>211</v>
      </c>
      <c r="M34" s="73"/>
      <c r="N34" s="73"/>
      <c r="O34" s="67" t="n">
        <v>90</v>
      </c>
    </row>
    <row r="35" customFormat="false" ht="18" hidden="false" customHeight="true" outlineLevel="0" collapsed="false">
      <c r="A35" s="47" t="s">
        <v>336</v>
      </c>
      <c r="B35" s="8" t="s">
        <v>209</v>
      </c>
      <c r="C35" s="72"/>
      <c r="D35" s="8" t="s">
        <v>210</v>
      </c>
      <c r="E35" s="72"/>
      <c r="F35" s="72"/>
      <c r="G35" s="72"/>
      <c r="H35" s="72"/>
      <c r="I35" s="72"/>
      <c r="J35" s="72"/>
      <c r="K35" s="72"/>
      <c r="L35" s="8" t="s">
        <v>211</v>
      </c>
      <c r="M35" s="73"/>
      <c r="N35" s="73"/>
      <c r="O35" s="67" t="n">
        <v>90</v>
      </c>
    </row>
    <row r="36" customFormat="false" ht="18" hidden="false" customHeight="true" outlineLevel="0" collapsed="false">
      <c r="A36" s="47" t="s">
        <v>337</v>
      </c>
      <c r="B36" s="8" t="s">
        <v>209</v>
      </c>
      <c r="C36" s="72"/>
      <c r="D36" s="8" t="s">
        <v>210</v>
      </c>
      <c r="E36" s="72"/>
      <c r="F36" s="72"/>
      <c r="G36" s="72"/>
      <c r="H36" s="72"/>
      <c r="I36" s="72"/>
      <c r="J36" s="72"/>
      <c r="K36" s="72"/>
      <c r="L36" s="8" t="s">
        <v>211</v>
      </c>
      <c r="M36" s="73"/>
      <c r="N36" s="73"/>
      <c r="O36" s="67" t="n">
        <v>90</v>
      </c>
    </row>
    <row r="37" customFormat="false" ht="18" hidden="false" customHeight="true" outlineLevel="0" collapsed="false">
      <c r="A37" s="47" t="s">
        <v>338</v>
      </c>
      <c r="B37" s="8" t="s">
        <v>209</v>
      </c>
      <c r="C37" s="72"/>
      <c r="D37" s="8" t="s">
        <v>210</v>
      </c>
      <c r="E37" s="72"/>
      <c r="F37" s="72"/>
      <c r="G37" s="72"/>
      <c r="H37" s="72"/>
      <c r="I37" s="72"/>
      <c r="J37" s="72"/>
      <c r="K37" s="72"/>
      <c r="L37" s="8" t="s">
        <v>211</v>
      </c>
      <c r="M37" s="73"/>
      <c r="N37" s="73"/>
      <c r="O37" s="67" t="n">
        <v>90</v>
      </c>
    </row>
    <row r="38" customFormat="false" ht="18" hidden="false" customHeight="true" outlineLevel="0" collapsed="false">
      <c r="A38" s="47" t="s">
        <v>339</v>
      </c>
      <c r="B38" s="8" t="s">
        <v>209</v>
      </c>
      <c r="C38" s="72"/>
      <c r="D38" s="8" t="s">
        <v>210</v>
      </c>
      <c r="E38" s="72"/>
      <c r="F38" s="72"/>
      <c r="G38" s="72"/>
      <c r="H38" s="72"/>
      <c r="I38" s="72"/>
      <c r="J38" s="72"/>
      <c r="K38" s="72"/>
      <c r="L38" s="8" t="s">
        <v>211</v>
      </c>
      <c r="M38" s="73"/>
      <c r="N38" s="73"/>
      <c r="O38" s="67" t="n">
        <v>90</v>
      </c>
    </row>
    <row r="39" customFormat="false" ht="18" hidden="false" customHeight="true" outlineLevel="0" collapsed="false">
      <c r="A39" s="47" t="s">
        <v>340</v>
      </c>
      <c r="B39" s="8" t="s">
        <v>209</v>
      </c>
      <c r="C39" s="72"/>
      <c r="D39" s="8" t="s">
        <v>210</v>
      </c>
      <c r="E39" s="72"/>
      <c r="F39" s="72"/>
      <c r="G39" s="72"/>
      <c r="H39" s="72"/>
      <c r="I39" s="72"/>
      <c r="J39" s="72"/>
      <c r="K39" s="72"/>
      <c r="L39" s="8" t="s">
        <v>211</v>
      </c>
      <c r="M39" s="73"/>
      <c r="N39" s="73"/>
      <c r="O39" s="67" t="n">
        <v>90</v>
      </c>
    </row>
    <row r="40" customFormat="false" ht="18" hidden="false" customHeight="true" outlineLevel="0" collapsed="false">
      <c r="A40" s="47" t="s">
        <v>341</v>
      </c>
      <c r="B40" s="8" t="s">
        <v>209</v>
      </c>
      <c r="C40" s="72"/>
      <c r="D40" s="8" t="s">
        <v>210</v>
      </c>
      <c r="E40" s="72"/>
      <c r="F40" s="72"/>
      <c r="G40" s="72"/>
      <c r="H40" s="72"/>
      <c r="I40" s="72"/>
      <c r="J40" s="72"/>
      <c r="K40" s="72"/>
      <c r="L40" s="8" t="s">
        <v>211</v>
      </c>
      <c r="M40" s="73"/>
      <c r="N40" s="73"/>
      <c r="O40" s="67" t="n">
        <v>90</v>
      </c>
    </row>
    <row r="41" customFormat="false" ht="18" hidden="false" customHeight="true" outlineLevel="0" collapsed="false">
      <c r="A41" s="47" t="s">
        <v>342</v>
      </c>
      <c r="B41" s="8" t="s">
        <v>209</v>
      </c>
      <c r="C41" s="72"/>
      <c r="D41" s="8" t="s">
        <v>210</v>
      </c>
      <c r="E41" s="72"/>
      <c r="F41" s="72"/>
      <c r="G41" s="72"/>
      <c r="H41" s="72"/>
      <c r="I41" s="72"/>
      <c r="J41" s="72"/>
      <c r="K41" s="72"/>
      <c r="L41" s="8" t="s">
        <v>211</v>
      </c>
      <c r="M41" s="73"/>
      <c r="N41" s="73"/>
      <c r="O41" s="67" t="n">
        <v>90</v>
      </c>
    </row>
    <row r="42" customFormat="false" ht="18" hidden="false" customHeight="true" outlineLevel="0" collapsed="false">
      <c r="A42" s="47" t="s">
        <v>343</v>
      </c>
      <c r="B42" s="8" t="s">
        <v>209</v>
      </c>
      <c r="C42" s="72"/>
      <c r="D42" s="8" t="s">
        <v>210</v>
      </c>
      <c r="E42" s="72"/>
      <c r="F42" s="72"/>
      <c r="G42" s="72"/>
      <c r="H42" s="72"/>
      <c r="I42" s="72"/>
      <c r="J42" s="72"/>
      <c r="K42" s="72"/>
      <c r="L42" s="8" t="s">
        <v>211</v>
      </c>
      <c r="M42" s="73"/>
      <c r="N42" s="73"/>
      <c r="O42" s="67" t="n">
        <v>90</v>
      </c>
    </row>
    <row r="43" customFormat="false" ht="18" hidden="false" customHeight="true" outlineLevel="0" collapsed="false">
      <c r="A43" s="47" t="s">
        <v>344</v>
      </c>
      <c r="B43" s="8" t="s">
        <v>209</v>
      </c>
      <c r="C43" s="72"/>
      <c r="D43" s="8" t="s">
        <v>210</v>
      </c>
      <c r="E43" s="72"/>
      <c r="F43" s="72"/>
      <c r="G43" s="72"/>
      <c r="H43" s="72"/>
      <c r="I43" s="72"/>
      <c r="J43" s="72"/>
      <c r="K43" s="72"/>
      <c r="L43" s="8" t="s">
        <v>211</v>
      </c>
      <c r="M43" s="73"/>
      <c r="N43" s="73"/>
      <c r="O43" s="67" t="n">
        <v>90</v>
      </c>
    </row>
    <row r="44" customFormat="false" ht="18" hidden="false" customHeight="true" outlineLevel="0" collapsed="false">
      <c r="A44" s="47" t="s">
        <v>345</v>
      </c>
      <c r="B44" s="8" t="s">
        <v>209</v>
      </c>
      <c r="C44" s="72"/>
      <c r="D44" s="8" t="s">
        <v>210</v>
      </c>
      <c r="E44" s="72"/>
      <c r="F44" s="72"/>
      <c r="G44" s="72"/>
      <c r="H44" s="72"/>
      <c r="I44" s="72"/>
      <c r="J44" s="72"/>
      <c r="K44" s="72"/>
      <c r="L44" s="8" t="s">
        <v>211</v>
      </c>
      <c r="M44" s="73"/>
      <c r="N44" s="73"/>
      <c r="O44" s="67" t="n">
        <v>90</v>
      </c>
    </row>
    <row r="45" customFormat="false" ht="18" hidden="false" customHeight="true" outlineLevel="0" collapsed="false">
      <c r="A45" s="47" t="s">
        <v>346</v>
      </c>
      <c r="B45" s="8" t="s">
        <v>209</v>
      </c>
      <c r="C45" s="72"/>
      <c r="D45" s="8" t="s">
        <v>210</v>
      </c>
      <c r="E45" s="72"/>
      <c r="F45" s="72"/>
      <c r="G45" s="72"/>
      <c r="H45" s="72"/>
      <c r="I45" s="72"/>
      <c r="J45" s="72"/>
      <c r="K45" s="72"/>
      <c r="L45" s="8" t="s">
        <v>211</v>
      </c>
      <c r="M45" s="73"/>
      <c r="N45" s="73"/>
      <c r="O45" s="67" t="n">
        <v>90</v>
      </c>
    </row>
    <row r="46" customFormat="false" ht="18" hidden="false" customHeight="true" outlineLevel="0" collapsed="false">
      <c r="A46" s="47" t="s">
        <v>347</v>
      </c>
      <c r="B46" s="8" t="s">
        <v>209</v>
      </c>
      <c r="C46" s="72"/>
      <c r="D46" s="8" t="s">
        <v>210</v>
      </c>
      <c r="E46" s="72"/>
      <c r="F46" s="72"/>
      <c r="G46" s="72"/>
      <c r="H46" s="72"/>
      <c r="I46" s="72"/>
      <c r="J46" s="72"/>
      <c r="K46" s="72"/>
      <c r="L46" s="8" t="s">
        <v>211</v>
      </c>
      <c r="M46" s="73"/>
      <c r="N46" s="73"/>
      <c r="O46" s="67" t="n">
        <v>90</v>
      </c>
    </row>
    <row r="47" customFormat="false" ht="18" hidden="false" customHeight="true" outlineLevel="0" collapsed="false">
      <c r="A47" s="47" t="s">
        <v>348</v>
      </c>
      <c r="B47" s="8" t="s">
        <v>209</v>
      </c>
      <c r="C47" s="72"/>
      <c r="D47" s="8" t="s">
        <v>210</v>
      </c>
      <c r="E47" s="72"/>
      <c r="F47" s="72"/>
      <c r="G47" s="72"/>
      <c r="H47" s="72"/>
      <c r="I47" s="72"/>
      <c r="J47" s="72"/>
      <c r="K47" s="72"/>
      <c r="L47" s="8" t="s">
        <v>211</v>
      </c>
      <c r="M47" s="73"/>
      <c r="N47" s="73"/>
      <c r="O47" s="67" t="n">
        <v>90</v>
      </c>
    </row>
    <row r="48" customFormat="false" ht="18" hidden="false" customHeight="true" outlineLevel="0" collapsed="false">
      <c r="A48" s="47" t="s">
        <v>349</v>
      </c>
      <c r="B48" s="8" t="s">
        <v>209</v>
      </c>
      <c r="C48" s="72"/>
      <c r="D48" s="8" t="s">
        <v>210</v>
      </c>
      <c r="E48" s="72"/>
      <c r="F48" s="72"/>
      <c r="G48" s="72"/>
      <c r="H48" s="72"/>
      <c r="I48" s="72"/>
      <c r="J48" s="72"/>
      <c r="K48" s="72"/>
      <c r="L48" s="8" t="s">
        <v>211</v>
      </c>
      <c r="M48" s="73"/>
      <c r="N48" s="73"/>
      <c r="O48" s="67" t="n">
        <v>90</v>
      </c>
    </row>
    <row r="49" customFormat="false" ht="18" hidden="false" customHeight="true" outlineLevel="0" collapsed="false">
      <c r="A49" s="47" t="s">
        <v>350</v>
      </c>
      <c r="B49" s="8" t="s">
        <v>209</v>
      </c>
      <c r="C49" s="72"/>
      <c r="D49" s="8" t="s">
        <v>210</v>
      </c>
      <c r="E49" s="72"/>
      <c r="F49" s="72"/>
      <c r="G49" s="72"/>
      <c r="H49" s="72"/>
      <c r="I49" s="72"/>
      <c r="J49" s="72"/>
      <c r="K49" s="72"/>
      <c r="L49" s="8" t="s">
        <v>211</v>
      </c>
      <c r="M49" s="73"/>
      <c r="N49" s="73"/>
      <c r="O49" s="67" t="n">
        <v>90</v>
      </c>
    </row>
    <row r="50" customFormat="false" ht="18" hidden="false" customHeight="true" outlineLevel="0" collapsed="false">
      <c r="A50" s="47" t="s">
        <v>351</v>
      </c>
      <c r="B50" s="8" t="s">
        <v>209</v>
      </c>
      <c r="C50" s="72"/>
      <c r="D50" s="8" t="s">
        <v>210</v>
      </c>
      <c r="E50" s="72"/>
      <c r="F50" s="72"/>
      <c r="G50" s="72"/>
      <c r="H50" s="72"/>
      <c r="I50" s="72"/>
      <c r="J50" s="72"/>
      <c r="K50" s="72"/>
      <c r="L50" s="8" t="s">
        <v>211</v>
      </c>
      <c r="M50" s="73"/>
      <c r="N50" s="73"/>
      <c r="O50" s="67" t="n">
        <v>90</v>
      </c>
    </row>
    <row r="51" customFormat="false" ht="18" hidden="false" customHeight="true" outlineLevel="0" collapsed="false">
      <c r="A51" s="47" t="s">
        <v>352</v>
      </c>
      <c r="B51" s="8" t="s">
        <v>209</v>
      </c>
      <c r="C51" s="72"/>
      <c r="D51" s="8" t="s">
        <v>210</v>
      </c>
      <c r="E51" s="72"/>
      <c r="F51" s="72"/>
      <c r="G51" s="72"/>
      <c r="H51" s="72"/>
      <c r="I51" s="72"/>
      <c r="J51" s="72"/>
      <c r="K51" s="72"/>
      <c r="L51" s="8" t="s">
        <v>211</v>
      </c>
      <c r="M51" s="73"/>
      <c r="N51" s="73"/>
      <c r="O51" s="67" t="n">
        <v>90</v>
      </c>
    </row>
    <row r="52" customFormat="false" ht="18" hidden="false" customHeight="true" outlineLevel="0" collapsed="false">
      <c r="A52" s="47" t="s">
        <v>353</v>
      </c>
      <c r="B52" s="8" t="s">
        <v>209</v>
      </c>
      <c r="C52" s="72"/>
      <c r="D52" s="8" t="s">
        <v>210</v>
      </c>
      <c r="E52" s="72"/>
      <c r="F52" s="72"/>
      <c r="G52" s="72"/>
      <c r="H52" s="72"/>
      <c r="I52" s="72"/>
      <c r="J52" s="72"/>
      <c r="K52" s="72"/>
      <c r="L52" s="8" t="s">
        <v>211</v>
      </c>
      <c r="M52" s="73"/>
      <c r="N52" s="73"/>
      <c r="O52" s="67" t="n">
        <v>90</v>
      </c>
    </row>
    <row r="53" customFormat="false" ht="18" hidden="false" customHeight="true" outlineLevel="0" collapsed="false">
      <c r="A53" s="47" t="s">
        <v>354</v>
      </c>
      <c r="B53" s="8" t="s">
        <v>209</v>
      </c>
      <c r="C53" s="72"/>
      <c r="D53" s="8" t="s">
        <v>210</v>
      </c>
      <c r="E53" s="72"/>
      <c r="F53" s="72"/>
      <c r="G53" s="72"/>
      <c r="H53" s="72"/>
      <c r="I53" s="72"/>
      <c r="J53" s="72"/>
      <c r="K53" s="72"/>
      <c r="L53" s="8" t="s">
        <v>211</v>
      </c>
      <c r="M53" s="73"/>
      <c r="N53" s="73"/>
      <c r="O53" s="67" t="n">
        <v>90</v>
      </c>
    </row>
    <row r="54" customFormat="false" ht="18" hidden="false" customHeight="true" outlineLevel="0" collapsed="false">
      <c r="A54" s="47" t="s">
        <v>355</v>
      </c>
      <c r="B54" s="8" t="s">
        <v>209</v>
      </c>
      <c r="C54" s="72"/>
      <c r="D54" s="8" t="s">
        <v>210</v>
      </c>
      <c r="E54" s="72"/>
      <c r="F54" s="72"/>
      <c r="G54" s="72"/>
      <c r="H54" s="72"/>
      <c r="I54" s="72"/>
      <c r="J54" s="72"/>
      <c r="K54" s="72"/>
      <c r="L54" s="8" t="s">
        <v>211</v>
      </c>
      <c r="M54" s="73"/>
      <c r="N54" s="73"/>
      <c r="O54" s="67" t="n">
        <v>90</v>
      </c>
    </row>
    <row r="55" customFormat="false" ht="18" hidden="false" customHeight="true" outlineLevel="0" collapsed="false">
      <c r="A55" s="47" t="s">
        <v>356</v>
      </c>
      <c r="B55" s="8" t="s">
        <v>209</v>
      </c>
      <c r="C55" s="72"/>
      <c r="D55" s="8" t="s">
        <v>210</v>
      </c>
      <c r="E55" s="72"/>
      <c r="F55" s="72"/>
      <c r="G55" s="72"/>
      <c r="H55" s="72"/>
      <c r="I55" s="72"/>
      <c r="J55" s="72"/>
      <c r="K55" s="72"/>
      <c r="L55" s="8" t="s">
        <v>211</v>
      </c>
      <c r="M55" s="73"/>
      <c r="N55" s="73"/>
      <c r="O55" s="67" t="n">
        <v>90</v>
      </c>
    </row>
    <row r="56" customFormat="false" ht="18" hidden="false" customHeight="true" outlineLevel="0" collapsed="false">
      <c r="A56" s="47" t="s">
        <v>357</v>
      </c>
      <c r="B56" s="8" t="s">
        <v>209</v>
      </c>
      <c r="C56" s="72"/>
      <c r="D56" s="8" t="s">
        <v>210</v>
      </c>
      <c r="E56" s="72"/>
      <c r="F56" s="72"/>
      <c r="G56" s="72"/>
      <c r="H56" s="72"/>
      <c r="I56" s="72"/>
      <c r="J56" s="72"/>
      <c r="K56" s="72"/>
      <c r="L56" s="8" t="s">
        <v>211</v>
      </c>
      <c r="M56" s="73"/>
      <c r="N56" s="73"/>
      <c r="O56" s="67" t="n">
        <v>90</v>
      </c>
    </row>
    <row r="57" customFormat="false" ht="18" hidden="false" customHeight="true" outlineLevel="0" collapsed="false">
      <c r="A57" s="47" t="s">
        <v>358</v>
      </c>
      <c r="B57" s="8" t="s">
        <v>209</v>
      </c>
      <c r="C57" s="72"/>
      <c r="D57" s="8" t="s">
        <v>210</v>
      </c>
      <c r="E57" s="72"/>
      <c r="F57" s="72"/>
      <c r="G57" s="72"/>
      <c r="H57" s="72"/>
      <c r="I57" s="72"/>
      <c r="J57" s="72"/>
      <c r="K57" s="72"/>
      <c r="L57" s="8" t="s">
        <v>211</v>
      </c>
      <c r="M57" s="73"/>
      <c r="N57" s="73"/>
      <c r="O57" s="67" t="n">
        <v>90</v>
      </c>
    </row>
    <row r="58" customFormat="false" ht="18" hidden="false" customHeight="true" outlineLevel="0" collapsed="false">
      <c r="A58" s="47" t="s">
        <v>359</v>
      </c>
      <c r="B58" s="8" t="s">
        <v>209</v>
      </c>
      <c r="C58" s="72"/>
      <c r="D58" s="8" t="s">
        <v>210</v>
      </c>
      <c r="E58" s="72"/>
      <c r="F58" s="72"/>
      <c r="G58" s="72"/>
      <c r="H58" s="72"/>
      <c r="I58" s="72"/>
      <c r="J58" s="72"/>
      <c r="K58" s="72"/>
      <c r="L58" s="8" t="s">
        <v>211</v>
      </c>
      <c r="M58" s="73"/>
      <c r="N58" s="73"/>
      <c r="O58" s="67" t="n">
        <v>90</v>
      </c>
    </row>
    <row r="59" customFormat="false" ht="18" hidden="false" customHeight="true" outlineLevel="0" collapsed="false">
      <c r="A59" s="47" t="s">
        <v>360</v>
      </c>
      <c r="B59" s="8" t="s">
        <v>209</v>
      </c>
      <c r="C59" s="72"/>
      <c r="D59" s="8" t="s">
        <v>210</v>
      </c>
      <c r="E59" s="72"/>
      <c r="F59" s="72"/>
      <c r="G59" s="72"/>
      <c r="H59" s="72"/>
      <c r="I59" s="72"/>
      <c r="J59" s="72"/>
      <c r="K59" s="72"/>
      <c r="L59" s="8" t="s">
        <v>211</v>
      </c>
      <c r="M59" s="73"/>
      <c r="N59" s="73"/>
      <c r="O59" s="67" t="n">
        <v>90</v>
      </c>
    </row>
    <row r="60" customFormat="false" ht="18" hidden="false" customHeight="true" outlineLevel="0" collapsed="false">
      <c r="A60" s="47" t="s">
        <v>361</v>
      </c>
      <c r="B60" s="8" t="s">
        <v>209</v>
      </c>
      <c r="C60" s="72"/>
      <c r="D60" s="8" t="s">
        <v>210</v>
      </c>
      <c r="E60" s="72"/>
      <c r="F60" s="72"/>
      <c r="G60" s="72"/>
      <c r="H60" s="72"/>
      <c r="I60" s="72"/>
      <c r="J60" s="72"/>
      <c r="K60" s="72"/>
      <c r="L60" s="8" t="s">
        <v>211</v>
      </c>
      <c r="M60" s="73"/>
      <c r="N60" s="73"/>
      <c r="O60" s="67" t="n">
        <v>90</v>
      </c>
    </row>
    <row r="61" customFormat="false" ht="18" hidden="false" customHeight="true" outlineLevel="0" collapsed="false">
      <c r="A61" s="47" t="s">
        <v>362</v>
      </c>
      <c r="B61" s="8" t="s">
        <v>209</v>
      </c>
      <c r="C61" s="72"/>
      <c r="D61" s="8" t="s">
        <v>210</v>
      </c>
      <c r="E61" s="72"/>
      <c r="F61" s="72"/>
      <c r="G61" s="72"/>
      <c r="H61" s="72"/>
      <c r="I61" s="72"/>
      <c r="J61" s="72"/>
      <c r="K61" s="72"/>
      <c r="L61" s="8" t="s">
        <v>211</v>
      </c>
      <c r="M61" s="73"/>
      <c r="N61" s="73"/>
      <c r="O61" s="67" t="n">
        <v>90</v>
      </c>
    </row>
  </sheetData>
  <conditionalFormatting sqref="E2:J61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"Pas OK"</formula>
    </cfRule>
  </conditionalFormatting>
  <conditionalFormatting sqref="K2:K61">
    <cfRule type="cellIs" priority="4" operator="equal" aboveAverage="0" equalAverage="0" bottom="0" percent="0" rank="0" text="" dxfId="0">
      <formula>"OK"</formula>
    </cfRule>
    <cfRule type="cellIs" priority="5" operator="equal" aboveAverage="0" equalAverage="0" bottom="0" percent="0" rank="0" text="" dxfId="1">
      <formula>"Pas OK"</formula>
    </cfRule>
    <cfRule type="cellIs" priority="6" operator="equal" aboveAverage="0" equalAverage="0" bottom="0" percent="0" rank="0" text="" dxfId="2">
      <formula>"Partiel"</formula>
    </cfRule>
  </conditionalFormatting>
  <conditionalFormatting sqref="L2:L61">
    <cfRule type="cellIs" priority="7" operator="equal" aboveAverage="0" equalAverage="0" bottom="0" percent="0" rank="0" text="" dxfId="0">
      <formula>"Fait"</formula>
    </cfRule>
    <cfRule type="cellIs" priority="8" operator="equal" aboveAverage="0" equalAverage="0" bottom="0" percent="0" rank="0" text="" dxfId="1">
      <formula>"A faire"</formula>
    </cfRule>
    <cfRule type="cellIs" priority="9" operator="equal" aboveAverage="0" equalAverage="0" bottom="0" percent="0" rank="0" text="" dxfId="2">
      <formula>"En cours"</formula>
    </cfRule>
  </conditionalFormatting>
  <conditionalFormatting sqref="C2:D61">
    <cfRule type="cellIs" priority="10" operator="equal" aboveAverage="0" equalAverage="0" bottom="0" percent="0" rank="0" text="" dxfId="3">
      <formula>"N/A"</formula>
    </cfRule>
  </conditionalFormatting>
  <dataValidations count="6">
    <dataValidation allowBlank="true" errorStyle="stop" operator="equal" showDropDown="false" showErrorMessage="false" showInputMessage="false" sqref="B2:B61" type="list">
      <formula1>"T630,T640,T655"</formula1>
      <formula2>0</formula2>
    </dataValidation>
    <dataValidation allowBlank="true" errorStyle="stop" operator="equal" showDropDown="false" showErrorMessage="false" showInputMessage="false" sqref="C2:C61" type="list">
      <formula1>"ZD621,ZD620,GX420d,N/A"</formula1>
      <formula2>0</formula2>
    </dataValidation>
    <dataValidation allowBlank="true" errorStyle="stop" operator="equal" showDropDown="false" showErrorMessage="false" showInputMessage="false" sqref="D2:D61" type="list">
      <formula1>"ZT411,ZT410,N/A"</formula1>
      <formula2>0</formula2>
    </dataValidation>
    <dataValidation allowBlank="true" errorStyle="stop" operator="equal" showDropDown="false" showErrorMessage="false" showInputMessage="false" sqref="E2:J61" type="list">
      <formula1>"OK,Pas OK"</formula1>
      <formula2>0</formula2>
    </dataValidation>
    <dataValidation allowBlank="true" errorStyle="stop" operator="equal" showDropDown="false" showErrorMessage="false" showInputMessage="false" sqref="K2:K61" type="list">
      <formula1>"OK,Pas OK,Partiel"</formula1>
      <formula2>0</formula2>
    </dataValidation>
    <dataValidation allowBlank="true" errorStyle="stop" operator="equal" showDropDown="false" showErrorMessage="false" showInputMessage="false" sqref="L2:L61" type="list">
      <formula1>"Fait,En cours,A faire"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2026-09-03T17:11:47Z</dcterms:created>
  <dc:creator>openpyxl</dc:creator>
  <dc:description/>
  <dc:language>fr-FR</dc:language>
  <cp:lastModifiedBy/>
  <dcterms:modified xsi:type="dcterms:W3CDTF">2026-09-04T04:57:59Z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