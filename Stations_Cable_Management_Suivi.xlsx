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ock &amp; Approvisionnement" sheetId="1" state="visible" r:id="rId1"/>
    <sheet name="Planning - Calendrier" sheetId="2" state="visible" r:id="rId2"/>
  </sheets>
  <definedNames>
    <definedName name="TotalStations">'Planning - Calendrier'!$F$40</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d/mm/yyyy"/>
    <numFmt numFmtId="165" formatCode="dd/mm/yyyy&quot; (&quot;ddd\)"/>
    <numFmt numFmtId="166" formatCode="yyyy-mm-dd h:mm:ss"/>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9C2B2B"/>
      <sz val="14"/>
    </font>
    <font>
      <name val="Arial"/>
      <charset val="1"/>
      <family val="0"/>
      <i val="1"/>
      <color rgb="FF595959"/>
      <sz val="9"/>
    </font>
    <font>
      <name val="Arial"/>
      <charset val="1"/>
      <family val="0"/>
      <b val="1"/>
      <color rgb="FFFFFFFF"/>
      <sz val="10"/>
    </font>
    <font>
      <name val="Arial"/>
      <charset val="1"/>
      <family val="0"/>
      <i val="1"/>
      <color rgb="FF9C2B2B"/>
      <sz val="9"/>
    </font>
    <font>
      <name val="Arial"/>
      <charset val="1"/>
      <family val="0"/>
      <color rgb="FF0000FF"/>
      <sz val="10"/>
    </font>
    <font>
      <name val="Arial"/>
      <charset val="1"/>
      <family val="0"/>
      <b val="1"/>
      <sz val="10"/>
    </font>
    <font>
      <name val="Arial"/>
      <charset val="1"/>
      <family val="0"/>
      <sz val="10"/>
    </font>
    <font>
      <name val="Arial"/>
      <i val="1"/>
      <color rgb="FF595959"/>
      <sz val="9"/>
    </font>
    <font>
      <name val="Arial"/>
      <b val="1"/>
      <color rgb="FF9C2B2B"/>
      <sz val="14"/>
    </font>
    <font>
      <name val="Arial"/>
      <b val="1"/>
      <sz val="10"/>
    </font>
    <font>
      <name val="Arial"/>
      <color rgb="FF0000FF"/>
      <sz val="10"/>
    </font>
    <font>
      <name val="Arial"/>
      <b val="1"/>
      <color rgb="FF006100"/>
      <sz val="10"/>
    </font>
    <font>
      <name val="Arial"/>
      <b val="1"/>
      <color rgb="FFFFFFFF"/>
      <sz val="10"/>
    </font>
    <font>
      <name val="Arial"/>
      <i val="1"/>
      <color rgb="FFFFFFFF"/>
      <sz val="9"/>
    </font>
    <font>
      <name val="Calibri"/>
      <sz val="11"/>
    </font>
    <font>
      <name val="Arial"/>
      <i val="1"/>
      <color rgb="FF808080"/>
      <sz val="9"/>
    </font>
  </fonts>
  <fills count="7">
    <fill>
      <patternFill/>
    </fill>
    <fill>
      <patternFill patternType="gray125"/>
    </fill>
    <fill>
      <patternFill patternType="solid">
        <fgColor rgb="FF9C2B2B"/>
        <bgColor rgb="FF993366"/>
      </patternFill>
    </fill>
    <fill>
      <patternFill patternType="solid">
        <fgColor rgb="FFFFFF99"/>
        <bgColor rgb="FFFFFFCC"/>
      </patternFill>
    </fill>
    <fill>
      <patternFill patternType="solid">
        <fgColor rgb="FFFFFF99"/>
      </patternFill>
    </fill>
    <fill>
      <patternFill patternType="solid">
        <fgColor rgb="FFC6EFCE"/>
      </patternFill>
    </fill>
    <fill>
      <patternFill patternType="solid">
        <fgColor rgb="FF9C2B2B"/>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center" wrapText="1"/>
    </xf>
    <xf numFmtId="0" fontId="6" fillId="2" borderId="1" applyAlignment="1" pivotButton="0" quotePrefix="0" xfId="0">
      <alignment horizontal="center" vertical="center" wrapText="1"/>
    </xf>
    <xf numFmtId="0" fontId="7" fillId="0" borderId="1" applyAlignment="1" pivotButton="0" quotePrefix="0" xfId="0">
      <alignment horizontal="left" vertical="center" wrapText="1"/>
    </xf>
    <xf numFmtId="0" fontId="7"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8" fillId="3" borderId="1" applyAlignment="1" pivotButton="0" quotePrefix="0" xfId="0">
      <alignment horizontal="general" vertical="bottom"/>
    </xf>
    <xf numFmtId="0" fontId="9" fillId="0" borderId="0" applyAlignment="1" pivotButton="0" quotePrefix="0" xfId="0">
      <alignment horizontal="general" vertical="bottom"/>
    </xf>
    <xf numFmtId="0" fontId="8" fillId="3" borderId="0" applyAlignment="1" pivotButton="0" quotePrefix="0" xfId="0">
      <alignment horizontal="center" vertical="center" wrapText="1"/>
    </xf>
    <xf numFmtId="0" fontId="5" fillId="0" borderId="0" applyAlignment="1" pivotButton="0" quotePrefix="0" xfId="0">
      <alignment horizontal="general" vertical="bottom"/>
    </xf>
    <xf numFmtId="164" fontId="8" fillId="3" borderId="0"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center" wrapText="1"/>
    </xf>
    <xf numFmtId="0" fontId="6" fillId="2" borderId="1" applyAlignment="1" pivotButton="0" quotePrefix="0" xfId="0">
      <alignment horizontal="center" vertical="center" wrapText="1"/>
    </xf>
    <xf numFmtId="0" fontId="7" fillId="0" borderId="1" applyAlignment="1" pivotButton="0" quotePrefix="0" xfId="0">
      <alignment horizontal="left" vertical="center" wrapText="1"/>
    </xf>
    <xf numFmtId="0" fontId="7"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8" fillId="3" borderId="1" applyAlignment="1" pivotButton="0" quotePrefix="0" xfId="0">
      <alignment horizontal="general" vertical="bottom"/>
    </xf>
    <xf numFmtId="0" fontId="11" fillId="0" borderId="0" applyAlignment="1" pivotButton="0" quotePrefix="0" xfId="0">
      <alignment vertical="center" wrapText="1"/>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4" borderId="0" applyAlignment="1" pivotButton="0" quotePrefix="0" xfId="0">
      <alignment horizontal="center" vertical="center" wrapText="1"/>
    </xf>
    <xf numFmtId="0" fontId="11" fillId="0" borderId="0" applyAlignment="1" pivotButton="0" quotePrefix="0" xfId="0">
      <alignment horizontal="general" vertical="bottom"/>
    </xf>
    <xf numFmtId="164" fontId="14" fillId="4" borderId="0" applyAlignment="1" pivotButton="0" quotePrefix="0" xfId="0">
      <alignment horizontal="center" vertical="center" wrapText="1"/>
    </xf>
    <xf numFmtId="164" fontId="15" fillId="5" borderId="0" applyAlignment="1" pivotButton="0" quotePrefix="0" xfId="0">
      <alignment horizontal="center" vertical="center" wrapText="1"/>
    </xf>
    <xf numFmtId="0" fontId="16" fillId="6" borderId="2" applyAlignment="1" pivotButton="0" quotePrefix="0" xfId="0">
      <alignment horizontal="center" vertical="center" wrapText="1"/>
    </xf>
    <xf numFmtId="0" fontId="17" fillId="6" borderId="2" applyAlignment="1" pivotButton="0" quotePrefix="0" xfId="0">
      <alignment horizontal="center" vertical="center" wrapText="1"/>
    </xf>
    <xf numFmtId="0" fontId="18" fillId="0" borderId="2" applyAlignment="1" pivotButton="0" quotePrefix="0" xfId="0">
      <alignment horizontal="general" vertical="center"/>
    </xf>
    <xf numFmtId="0" fontId="14" fillId="4" borderId="2" applyAlignment="1" pivotButton="0" quotePrefix="0" xfId="0">
      <alignment horizontal="center" vertical="center" wrapText="1"/>
    </xf>
    <xf numFmtId="164" fontId="15" fillId="5" borderId="2" applyAlignment="1" pivotButton="0" quotePrefix="0" xfId="0">
      <alignment horizontal="center" vertical="center" wrapText="1"/>
    </xf>
    <xf numFmtId="0" fontId="18" fillId="0" borderId="2" applyAlignment="1" pivotButton="0" quotePrefix="0" xfId="0">
      <alignment horizontal="center" vertical="center" wrapText="1"/>
    </xf>
    <xf numFmtId="0" fontId="19" fillId="0" borderId="2" applyAlignment="1" pivotButton="0" quotePrefix="0" xfId="0">
      <alignment horizontal="center" vertical="center" wrapText="1"/>
    </xf>
    <xf numFmtId="0" fontId="15" fillId="0" borderId="2" applyAlignment="1" pivotButton="0" quotePrefix="0" xfId="0">
      <alignment horizontal="center" vertical="center" wrapText="1"/>
    </xf>
    <xf numFmtId="0" fontId="11" fillId="0" borderId="0" applyAlignment="1" pivotButton="0" quotePrefix="0" xfId="0">
      <alignment horizontal="general" vertical="center" wrapText="1"/>
    </xf>
    <xf numFmtId="165" fontId="18" fillId="0" borderId="2" applyAlignment="1" pivotButton="0" quotePrefix="0" xfId="0">
      <alignment horizontal="center" vertical="center" wrapText="1"/>
    </xf>
    <xf numFmtId="0" fontId="14" fillId="4" borderId="2"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bgColor rgb="FFF8CBAD"/>
        </patternFill>
      </fill>
    </dxf>
    <dxf>
      <fill>
        <patternFill>
          <bgColor rgb="FFC6E0B4"/>
        </patternFill>
      </fill>
    </dxf>
    <dxf>
      <fill>
        <patternFill patternType="solid">
          <f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C2B2B"/>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RefProcess" displayName="RefProcess" ref="A8:G38" headerRowCount="1">
  <autoFilter ref="A8:G38"/>
  <tableColumns count="7">
    <tableColumn id="1" name="Process"/>
    <tableColumn id="2" name="Nb stations"/>
    <tableColumn id="3" name="Temps/station (min)"/>
    <tableColumn id="4" name="Date début (calculée)"/>
    <tableColumn id="5" name="Date fin (calculée)"/>
    <tableColumn id="6" name="Cumul fin (nb stations)"/>
    <tableColumn id="7" name="Rang (aide au calcul)"/>
  </tableColumns>
  <tableStyleInfo name="TableStyleMedium2" showRowStripes="1"/>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1"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7" min="1" max="1"/>
    <col width="16" customWidth="1" style="17" min="2" max="2"/>
    <col width="11" customWidth="1" style="17" min="3" max="3"/>
    <col width="12" customWidth="1" style="17" min="4" max="4"/>
    <col width="11" customWidth="1" style="17" min="5" max="5"/>
    <col width="10" customWidth="1" style="17" min="6" max="7"/>
    <col width="12" customWidth="1" style="17" min="8" max="10"/>
    <col width="16" customWidth="1" style="17" min="11" max="11"/>
    <col width="12" customWidth="1" style="17" min="12" max="12"/>
    <col width="9" customWidth="1" style="17" min="13" max="13"/>
  </cols>
  <sheetData>
    <row r="1" ht="17.35" customHeight="1" s="18">
      <c r="A1" s="19" t="inlineStr">
        <is>
          <t>Stock &amp; Approvisionnement — Stations Cable Management</t>
        </is>
      </c>
    </row>
    <row r="2" ht="27.75" customHeight="1" s="18">
      <c r="A2" s="20" t="inlineStr">
        <is>
          <t>Légende : cellules en bleu sur fond jaune = à remplir/mettre à jour manuellement. Les autres colonnes se calculent automatiquement, ne pas y taper de valeur.</t>
        </is>
      </c>
    </row>
    <row r="3" ht="27.75" customHeight="1" s="18">
      <c r="A3" s="20" t="inlineStr">
        <is>
          <t>Note : "Consommé à date" est en saisie manuelle pour l'instant. Une fois ce fichier fusionné avec les onglets process (Medium, PCNS, Autres, P2R), remplacer par une formule de comptage des "remplacé = Oui" dans chaque onglet (ex. =COUNTIF(Medium!F:F,"Oui")+COUNTIF(PCNS!F:F,"Oui")+... pour la ligne TC).</t>
        </is>
      </c>
    </row>
    <row r="5" ht="30" customHeight="1" s="18">
      <c r="A5" s="21" t="inlineStr">
        <is>
          <t>Équipement</t>
        </is>
      </c>
      <c r="B5" s="21" t="inlineStr">
        <is>
          <t>Type</t>
        </is>
      </c>
      <c r="C5" s="21" t="inlineStr">
        <is>
          <t>Stock initial
disponible</t>
        </is>
      </c>
      <c r="D5" s="21" t="inlineStr">
        <is>
          <t>Besoin théorique
max</t>
        </is>
      </c>
      <c r="E5" s="21" t="inlineStr">
        <is>
          <t>Consommé
à date</t>
        </is>
      </c>
      <c r="F5" s="21" t="inlineStr">
        <is>
          <t>Stock
restant</t>
        </is>
      </c>
      <c r="G5" s="21" t="inlineStr">
        <is>
          <t>Seuil
d'alerte</t>
        </is>
      </c>
      <c r="H5" s="21" t="inlineStr">
        <is>
          <t>À commander ?</t>
        </is>
      </c>
      <c r="I5" s="21" t="inlineStr">
        <is>
          <t>Date
commande</t>
        </is>
      </c>
      <c r="J5" s="21" t="inlineStr">
        <is>
          <t>Quantité
commandée</t>
        </is>
      </c>
      <c r="K5" s="21" t="inlineStr">
        <is>
          <t>Fournisseur</t>
        </is>
      </c>
      <c r="L5" s="21" t="inlineStr">
        <is>
          <t>Livraison
prévue</t>
        </is>
      </c>
      <c r="M5" s="21" t="inlineStr">
        <is>
          <t>Reçu ?</t>
        </is>
      </c>
    </row>
    <row r="6" ht="22.35" customHeight="1" s="18">
      <c r="A6" s="22" t="inlineStr">
        <is>
          <t>EXEMPLE (ligne à supprimer) — TC 630/640 → 655</t>
        </is>
      </c>
      <c r="B6" s="22" t="inlineStr">
        <is>
          <t>Équipement principal</t>
        </is>
      </c>
      <c r="C6" s="23" t="n">
        <v>20</v>
      </c>
      <c r="D6" s="23" t="n">
        <v>150</v>
      </c>
      <c r="E6" s="23" t="n">
        <v>5</v>
      </c>
      <c r="F6" s="23">
        <f>C6-E6</f>
        <v/>
      </c>
      <c r="G6" s="23" t="n">
        <v>15</v>
      </c>
      <c r="H6" s="23">
        <f>IF(G6="","À définir",IF(F6&lt;G6,"Oui","Non"))</f>
        <v/>
      </c>
      <c r="I6" s="23" t="inlineStr">
        <is>
          <t>2026-09-01</t>
        </is>
      </c>
      <c r="J6" s="23" t="n">
        <v>30</v>
      </c>
      <c r="K6" s="22" t="inlineStr">
        <is>
          <t>Fournisseur X</t>
        </is>
      </c>
      <c r="L6" s="23" t="inlineStr">
        <is>
          <t>2026-09-15</t>
        </is>
      </c>
      <c r="M6" s="22" t="inlineStr">
        <is>
          <t>Non</t>
        </is>
      </c>
    </row>
    <row r="7" ht="28.35" customHeight="1" s="18">
      <c r="A7" s="24" t="inlineStr">
        <is>
          <t>TC 630/640 → 655</t>
        </is>
      </c>
      <c r="B7" s="25" t="inlineStr">
        <is>
          <t>Équipement principal</t>
        </is>
      </c>
      <c r="C7" s="26" t="n">
        <v>0</v>
      </c>
      <c r="D7" s="25" t="n">
        <v>150</v>
      </c>
      <c r="E7" s="26" t="n">
        <v>0</v>
      </c>
      <c r="F7" s="25">
        <f>C7-E7</f>
        <v/>
      </c>
      <c r="G7" s="26" t="n"/>
      <c r="H7" s="25">
        <f>IF(G7="","À définir",IF(F7&lt;G7,"Oui","Non"))</f>
        <v/>
      </c>
      <c r="I7" s="26" t="n"/>
      <c r="J7" s="26" t="n"/>
      <c r="K7" s="27" t="n"/>
      <c r="L7" s="26" t="n"/>
      <c r="M7" s="26" t="n"/>
    </row>
    <row r="8" ht="28.35" customHeight="1" s="18">
      <c r="A8" s="24" t="inlineStr">
        <is>
          <t>Imprimante ZT 411/410</t>
        </is>
      </c>
      <c r="B8" s="25" t="inlineStr">
        <is>
          <t>Équipement principal</t>
        </is>
      </c>
      <c r="C8" s="26" t="n">
        <v>0</v>
      </c>
      <c r="D8" s="25" t="n">
        <v>22</v>
      </c>
      <c r="E8" s="26" t="n">
        <v>0</v>
      </c>
      <c r="F8" s="25">
        <f>C8-E8</f>
        <v/>
      </c>
      <c r="G8" s="26" t="n"/>
      <c r="H8" s="25">
        <f>IF(G8="","À définir",IF(F8&lt;G8,"Oui","Non"))</f>
        <v/>
      </c>
      <c r="I8" s="26" t="n"/>
      <c r="J8" s="26" t="n"/>
      <c r="K8" s="27" t="n"/>
      <c r="L8" s="26" t="n"/>
      <c r="M8" s="26" t="n"/>
    </row>
    <row r="9" ht="28.35" customHeight="1" s="18">
      <c r="A9" s="24" t="inlineStr">
        <is>
          <t>Imprimante ZD 421 / GX 420 (combiné)*</t>
        </is>
      </c>
      <c r="B9" s="25" t="inlineStr">
        <is>
          <t>Équipement principal</t>
        </is>
      </c>
      <c r="C9" s="26" t="n">
        <v>0</v>
      </c>
      <c r="D9" s="25" t="n">
        <v>150</v>
      </c>
      <c r="E9" s="26" t="n">
        <v>0</v>
      </c>
      <c r="F9" s="25">
        <f>C9-E9</f>
        <v/>
      </c>
      <c r="G9" s="26" t="n"/>
      <c r="H9" s="25">
        <f>IF(G9="","À définir",IF(F9&lt;G9,"Oui","Non"))</f>
        <v/>
      </c>
      <c r="I9" s="26" t="n"/>
      <c r="J9" s="26" t="n"/>
      <c r="K9" s="27" t="n"/>
      <c r="L9" s="26" t="n"/>
      <c r="M9" s="26" t="n"/>
    </row>
    <row r="10" ht="15" customHeight="1" s="18">
      <c r="A10" s="24" t="inlineStr">
        <is>
          <t>Genovation</t>
        </is>
      </c>
      <c r="B10" s="25" t="inlineStr">
        <is>
          <t>Consommable</t>
        </is>
      </c>
      <c r="C10" s="26" t="n">
        <v>0</v>
      </c>
      <c r="D10" s="25" t="inlineStr">
        <is>
          <t>n/a</t>
        </is>
      </c>
      <c r="E10" s="26" t="n">
        <v>0</v>
      </c>
      <c r="F10" s="25">
        <f>C10-E10</f>
        <v/>
      </c>
      <c r="G10" s="26" t="n"/>
      <c r="H10" s="25">
        <f>IF(G10="","À définir",IF(F10&lt;G10,"Oui","Non"))</f>
        <v/>
      </c>
      <c r="I10" s="26" t="n"/>
      <c r="J10" s="26" t="n"/>
      <c r="K10" s="27" t="n"/>
      <c r="L10" s="26" t="n"/>
      <c r="M10" s="26" t="n"/>
    </row>
    <row r="11" ht="15" customHeight="1" s="18">
      <c r="A11" s="24" t="inlineStr">
        <is>
          <t>Clavier</t>
        </is>
      </c>
      <c r="B11" s="25" t="inlineStr">
        <is>
          <t>Consommable</t>
        </is>
      </c>
      <c r="C11" s="26" t="n">
        <v>0</v>
      </c>
      <c r="D11" s="25" t="inlineStr">
        <is>
          <t>n/a</t>
        </is>
      </c>
      <c r="E11" s="26" t="n">
        <v>0</v>
      </c>
      <c r="F11" s="25">
        <f>C11-E11</f>
        <v/>
      </c>
      <c r="G11" s="26" t="n"/>
      <c r="H11" s="25">
        <f>IF(G11="","À définir",IF(F11&lt;G11,"Oui","Non"))</f>
        <v/>
      </c>
      <c r="I11" s="26" t="n"/>
      <c r="J11" s="26" t="n"/>
      <c r="K11" s="27" t="n"/>
      <c r="L11" s="26" t="n"/>
      <c r="M11" s="26" t="n"/>
    </row>
    <row r="12" ht="15" customHeight="1" s="18">
      <c r="A12" s="24" t="inlineStr">
        <is>
          <t>NFC Connect</t>
        </is>
      </c>
      <c r="B12" s="25" t="inlineStr">
        <is>
          <t>Consommable</t>
        </is>
      </c>
      <c r="C12" s="26" t="n">
        <v>0</v>
      </c>
      <c r="D12" s="25" t="inlineStr">
        <is>
          <t>n/a</t>
        </is>
      </c>
      <c r="E12" s="26" t="n">
        <v>0</v>
      </c>
      <c r="F12" s="25">
        <f>C12-E12</f>
        <v/>
      </c>
      <c r="G12" s="26" t="n"/>
      <c r="H12" s="25">
        <f>IF(G12="","À définir",IF(F12&lt;G12,"Oui","Non"))</f>
        <v/>
      </c>
      <c r="I12" s="26" t="n"/>
      <c r="J12" s="26" t="n"/>
      <c r="K12" s="27" t="n"/>
      <c r="L12" s="26" t="n"/>
      <c r="M12" s="26" t="n"/>
    </row>
    <row r="13" ht="15" customHeight="1" s="18">
      <c r="A13" s="24" t="inlineStr">
        <is>
          <t>Support 2D</t>
        </is>
      </c>
      <c r="B13" s="25" t="inlineStr">
        <is>
          <t>Consommable</t>
        </is>
      </c>
      <c r="C13" s="26" t="n">
        <v>0</v>
      </c>
      <c r="D13" s="25" t="inlineStr">
        <is>
          <t>n/a</t>
        </is>
      </c>
      <c r="E13" s="26" t="n">
        <v>0</v>
      </c>
      <c r="F13" s="25">
        <f>C13-E13</f>
        <v/>
      </c>
      <c r="G13" s="26" t="n"/>
      <c r="H13" s="25">
        <f>IF(G13="","À définir",IF(F13&lt;G13,"Oui","Non"))</f>
        <v/>
      </c>
      <c r="I13" s="26" t="n"/>
      <c r="J13" s="26" t="n"/>
      <c r="K13" s="27" t="n"/>
      <c r="L13" s="26" t="n"/>
      <c r="M13" s="26" t="n"/>
    </row>
    <row r="14" ht="15" customHeight="1" s="18">
      <c r="A14" s="24" t="inlineStr">
        <is>
          <t>Autocollant</t>
        </is>
      </c>
      <c r="B14" s="25" t="inlineStr">
        <is>
          <t>Consommable</t>
        </is>
      </c>
      <c r="C14" s="26" t="n">
        <v>0</v>
      </c>
      <c r="D14" s="25" t="inlineStr">
        <is>
          <t>n/a</t>
        </is>
      </c>
      <c r="E14" s="26" t="n">
        <v>0</v>
      </c>
      <c r="F14" s="25">
        <f>C14-E14</f>
        <v/>
      </c>
      <c r="G14" s="26" t="n"/>
      <c r="H14" s="25">
        <f>IF(G14="","À définir",IF(F14&lt;G14,"Oui","Non"))</f>
        <v/>
      </c>
      <c r="I14" s="26" t="n"/>
      <c r="J14" s="26" t="n"/>
      <c r="K14" s="27" t="n"/>
      <c r="L14" s="26" t="n"/>
      <c r="M14" s="26" t="n"/>
    </row>
    <row r="15" ht="15" customHeight="1" s="18">
      <c r="A15" s="24" t="inlineStr">
        <is>
          <t>Protection scanner central</t>
        </is>
      </c>
      <c r="B15" s="25" t="inlineStr">
        <is>
          <t>Consommable</t>
        </is>
      </c>
      <c r="C15" s="26" t="n">
        <v>0</v>
      </c>
      <c r="D15" s="25" t="inlineStr">
        <is>
          <t>n/a</t>
        </is>
      </c>
      <c r="E15" s="26" t="n">
        <v>0</v>
      </c>
      <c r="F15" s="25">
        <f>C15-E15</f>
        <v/>
      </c>
      <c r="G15" s="26" t="n"/>
      <c r="H15" s="25">
        <f>IF(G15="","À définir",IF(F15&lt;G15,"Oui","Non"))</f>
        <v/>
      </c>
      <c r="I15" s="26" t="n"/>
      <c r="J15" s="26" t="n"/>
      <c r="K15" s="27" t="n"/>
      <c r="L15" s="26" t="n"/>
      <c r="M15" s="26" t="n"/>
    </row>
    <row r="16" ht="15" customHeight="1" s="18">
      <c r="A16" s="24" t="inlineStr">
        <is>
          <t>Secure IT</t>
        </is>
      </c>
      <c r="B16" s="25" t="inlineStr">
        <is>
          <t>Consommable</t>
        </is>
      </c>
      <c r="C16" s="26" t="n">
        <v>0</v>
      </c>
      <c r="D16" s="25" t="inlineStr">
        <is>
          <t>n/a</t>
        </is>
      </c>
      <c r="E16" s="26" t="n">
        <v>0</v>
      </c>
      <c r="F16" s="25">
        <f>C16-E16</f>
        <v/>
      </c>
      <c r="G16" s="26" t="n"/>
      <c r="H16" s="25">
        <f>IF(G16="","À définir",IF(F16&lt;G16,"Oui","Non"))</f>
        <v/>
      </c>
      <c r="I16" s="26" t="n"/>
      <c r="J16" s="26" t="n"/>
      <c r="K16" s="27" t="n"/>
      <c r="L16" s="26" t="n"/>
      <c r="M16" s="26" t="n"/>
    </row>
    <row r="17" ht="15" customHeight="1" s="18">
      <c r="A17" s="24" t="inlineStr">
        <is>
          <t>Câbles</t>
        </is>
      </c>
      <c r="B17" s="25" t="inlineStr">
        <is>
          <t>Consommable</t>
        </is>
      </c>
      <c r="C17" s="26" t="n">
        <v>0</v>
      </c>
      <c r="D17" s="25" t="inlineStr">
        <is>
          <t>n/a</t>
        </is>
      </c>
      <c r="E17" s="26" t="n">
        <v>0</v>
      </c>
      <c r="F17" s="25">
        <f>C17-E17</f>
        <v/>
      </c>
      <c r="G17" s="26" t="n"/>
      <c r="H17" s="25">
        <f>IF(G17="","À définir",IF(F17&lt;G17,"Oui","Non"))</f>
        <v/>
      </c>
      <c r="I17" s="26" t="n"/>
      <c r="J17" s="26" t="n"/>
      <c r="K17" s="27" t="n"/>
      <c r="L17" s="26" t="n"/>
      <c r="M17" s="26" t="n"/>
    </row>
    <row r="18" ht="15" customHeight="1" s="18">
      <c r="A18" s="24" t="inlineStr">
        <is>
          <t>Rallonges</t>
        </is>
      </c>
      <c r="B18" s="25" t="inlineStr">
        <is>
          <t>Consommable</t>
        </is>
      </c>
      <c r="C18" s="26" t="n">
        <v>0</v>
      </c>
      <c r="D18" s="25" t="inlineStr">
        <is>
          <t>n/a</t>
        </is>
      </c>
      <c r="E18" s="26" t="n">
        <v>0</v>
      </c>
      <c r="F18" s="25">
        <f>C18-E18</f>
        <v/>
      </c>
      <c r="G18" s="26" t="n"/>
      <c r="H18" s="25">
        <f>IF(G18="","À définir",IF(F18&lt;G18,"Oui","Non"))</f>
        <v/>
      </c>
      <c r="I18" s="26" t="n"/>
      <c r="J18" s="26" t="n"/>
      <c r="K18" s="27" t="n"/>
      <c r="L18" s="26" t="n"/>
      <c r="M18" s="26" t="n"/>
    </row>
    <row r="19" ht="15" customHeight="1" s="18">
      <c r="A19" s="24" t="inlineStr">
        <is>
          <t>Extension rallonge</t>
        </is>
      </c>
      <c r="B19" s="25" t="inlineStr">
        <is>
          <t>Consommable</t>
        </is>
      </c>
      <c r="C19" s="26" t="n">
        <v>0</v>
      </c>
      <c r="D19" s="25" t="inlineStr">
        <is>
          <t>n/a</t>
        </is>
      </c>
      <c r="E19" s="26" t="n">
        <v>0</v>
      </c>
      <c r="F19" s="25">
        <f>C19-E19</f>
        <v/>
      </c>
      <c r="G19" s="26" t="n"/>
      <c r="H19" s="25">
        <f>IF(G19="","À définir",IF(F19&lt;G19,"Oui","Non"))</f>
        <v/>
      </c>
      <c r="I19" s="26" t="n"/>
      <c r="J19" s="26" t="n"/>
      <c r="K19" s="27" t="n"/>
      <c r="L19" s="26" t="n"/>
      <c r="M19" s="26" t="n"/>
    </row>
    <row r="20" ht="15" customHeight="1" s="18">
      <c r="A20" s="24" t="inlineStr">
        <is>
          <t>Vis</t>
        </is>
      </c>
      <c r="B20" s="25" t="inlineStr">
        <is>
          <t>Consommable</t>
        </is>
      </c>
      <c r="C20" s="26" t="n">
        <v>0</v>
      </c>
      <c r="D20" s="25" t="inlineStr">
        <is>
          <t>n/a</t>
        </is>
      </c>
      <c r="E20" s="26" t="n">
        <v>0</v>
      </c>
      <c r="F20" s="25">
        <f>C20-E20</f>
        <v/>
      </c>
      <c r="G20" s="26" t="n"/>
      <c r="H20" s="25">
        <f>IF(G20="","À définir",IF(F20&lt;G20,"Oui","Non"))</f>
        <v/>
      </c>
      <c r="I20" s="26" t="n"/>
      <c r="J20" s="26" t="n"/>
      <c r="K20" s="27" t="n"/>
      <c r="L20" s="26" t="n"/>
      <c r="M20" s="26" t="n"/>
    </row>
    <row r="21" ht="15" customHeight="1" s="18">
      <c r="A21" s="24" t="inlineStr">
        <is>
          <t>Serre-câbles noir</t>
        </is>
      </c>
      <c r="B21" s="25" t="inlineStr">
        <is>
          <t>Consommable</t>
        </is>
      </c>
      <c r="C21" s="26" t="n">
        <v>0</v>
      </c>
      <c r="D21" s="25" t="inlineStr">
        <is>
          <t>n/a</t>
        </is>
      </c>
      <c r="E21" s="26" t="n">
        <v>0</v>
      </c>
      <c r="F21" s="25">
        <f>C21-E21</f>
        <v/>
      </c>
      <c r="G21" s="26" t="n"/>
      <c r="H21" s="25">
        <f>IF(G21="","À définir",IF(F21&lt;G21,"Oui","Non"))</f>
        <v/>
      </c>
      <c r="I21" s="26" t="n"/>
      <c r="J21" s="26" t="n"/>
      <c r="K21" s="27" t="n"/>
      <c r="L21" s="26" t="n"/>
      <c r="M21" s="26" t="n"/>
    </row>
    <row r="22" ht="15" customHeight="1" s="18">
      <c r="A22" s="24" t="inlineStr">
        <is>
          <t>Serre-câbles réutilisables</t>
        </is>
      </c>
      <c r="B22" s="25" t="inlineStr">
        <is>
          <t>Consommable</t>
        </is>
      </c>
      <c r="C22" s="26" t="n">
        <v>0</v>
      </c>
      <c r="D22" s="25" t="inlineStr">
        <is>
          <t>n/a</t>
        </is>
      </c>
      <c r="E22" s="26" t="n">
        <v>0</v>
      </c>
      <c r="F22" s="25">
        <f>C22-E22</f>
        <v/>
      </c>
      <c r="G22" s="26" t="n"/>
      <c r="H22" s="25">
        <f>IF(G22="","À définir",IF(F22&lt;G22,"Oui","Non"))</f>
        <v/>
      </c>
      <c r="I22" s="26" t="n"/>
      <c r="J22" s="26" t="n"/>
      <c r="K22" s="27" t="n"/>
      <c r="L22" s="26" t="n"/>
      <c r="M22" s="26" t="n"/>
    </row>
    <row r="23" ht="15" customHeight="1" s="18">
      <c r="A23" s="24" t="inlineStr">
        <is>
          <t>Clips câbles autocollants</t>
        </is>
      </c>
      <c r="B23" s="25" t="inlineStr">
        <is>
          <t>Consommable</t>
        </is>
      </c>
      <c r="C23" s="26" t="n">
        <v>0</v>
      </c>
      <c r="D23" s="25" t="inlineStr">
        <is>
          <t>n/a</t>
        </is>
      </c>
      <c r="E23" s="26" t="n">
        <v>0</v>
      </c>
      <c r="F23" s="25">
        <f>C23-E23</f>
        <v/>
      </c>
      <c r="G23" s="26" t="n"/>
      <c r="H23" s="25">
        <f>IF(G23="","À définir",IF(F23&lt;G23,"Oui","Non"))</f>
        <v/>
      </c>
      <c r="I23" s="26" t="n"/>
      <c r="J23" s="26" t="n"/>
      <c r="K23" s="27" t="n"/>
      <c r="L23" s="26" t="n"/>
      <c r="M23" s="26" t="n"/>
    </row>
    <row r="25" ht="27.75" customHeight="1" s="18">
      <c r="A25" s="20" t="inlineStr">
        <is>
          <t>* Le besoin théorique de 150 pour "ZD 421 / GX 420" est un plafond combiné : la répartition exacte entre les 2 modèles par station n'est pas connue à ce jour, mais les deux modèles sont interchangeables (cf. §2c du dossier de cadrage).</t>
        </is>
      </c>
    </row>
    <row r="26" ht="42" customHeight="1" s="18">
      <c r="A26" s="28" t="inlineStr">
        <is>
          <t>Note : les plafonds "Besoin théorique max" (TC 150 / ZT 22 / ZD-GX 150) sont saisis à la main, car ils dépendent de quel équipement chaque sous-process utilise (§1b), un découpage plus fin que les groupes de planning (ex. "Jackpot" a besoin d'un ZT mais pas "Vred/Slam/Solving", bien qu'ils soient regroupés dans l'onglet Planning). Si la liste des process change, revérifier ces 3 plafonds à la main par rapport au §1b/§2c avant de commander.</t>
        </is>
      </c>
    </row>
  </sheetData>
  <mergeCells count="5">
    <mergeCell ref="A1:M1"/>
    <mergeCell ref="A3:M3"/>
    <mergeCell ref="A26:M26"/>
    <mergeCell ref="A25:M25"/>
    <mergeCell ref="A2:M2"/>
  </mergeCells>
  <conditionalFormatting sqref="H6:H23">
    <cfRule type="cellIs" rank="0" priority="2" equalAverage="0" operator="equal" aboveAverage="0" dxfId="0" text="" percent="0" bottom="0">
      <formula>"Oui"</formula>
    </cfRule>
  </conditionalFormatting>
  <dataValidations count="1">
    <dataValidation sqref="M7:M23" showDropDown="0" showInputMessage="0" showErrorMessage="0" allowBlank="1"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0" summaryRight="1"/>
    <pageSetUpPr/>
  </sheetPr>
  <dimension ref="A1:J267"/>
  <sheetViews>
    <sheetView showGridLines="1" workbookViewId="0">
      <pane ySplit="8" topLeftCell="A9" activePane="bottomLeft" state="frozen"/>
      <selection pane="bottomLeft" activeCell="A1" sqref="A1"/>
    </sheetView>
  </sheetViews>
  <sheetFormatPr baseColWidth="8" defaultRowHeight="15"/>
  <cols>
    <col width="18" customWidth="1" style="18" min="1" max="1"/>
    <col width="12" customWidth="1" style="18" min="2" max="2"/>
    <col width="11" customWidth="1" style="18" min="3" max="3"/>
    <col width="12" customWidth="1" style="18" min="4" max="4"/>
    <col width="12" customWidth="1" style="18" min="5" max="5"/>
    <col width="10" customWidth="1" style="18" min="6" max="6"/>
    <col width="10" customWidth="1" style="18" min="7" max="7"/>
    <col width="9" customWidth="1" style="18" min="8" max="8"/>
    <col width="12" customWidth="1" style="18" min="10" max="10"/>
  </cols>
  <sheetData>
    <row r="1" ht="17.35" customHeight="1" s="18">
      <c r="A1" s="29" t="inlineStr">
        <is>
          <t>Planning - Calendrier — Stations Cable Management</t>
        </is>
      </c>
    </row>
    <row r="3" ht="15" customHeight="1" s="18">
      <c r="A3" s="30" t="inlineStr">
        <is>
          <t>Cadence retenue :</t>
        </is>
      </c>
      <c r="B3" s="31" t="inlineStr">
        <is>
          <t>1</t>
        </is>
      </c>
      <c r="C3" s="32" t="inlineStr">
        <is>
          <t>(1, 2 ou "Plein temps (7h)" — décision en attente, cf. §3c/§4 du dossier de cadrage)</t>
        </is>
      </c>
    </row>
    <row r="4" ht="15" customHeight="1" s="18">
      <c r="A4" s="30" t="inlineStr">
        <is>
          <t>Date de démarrage :</t>
        </is>
      </c>
      <c r="B4" s="33" t="n">
        <v>46265</v>
      </c>
      <c r="C4" s="32" t="inlineStr">
        <is>
          <t>(hypothèse — premier jour ouvré retenu comme référence pour ce calendrier)</t>
        </is>
      </c>
    </row>
    <row r="5" ht="15" customHeight="1" s="18">
      <c r="A5" s="30" t="inlineStr">
        <is>
          <t>Date de fin (projetée) :</t>
        </is>
      </c>
      <c r="B5" s="34">
        <f>IFERROR(INDEX($A$48:$A$267,SUMPRODUCT(($C$48:$C$267&lt;TotalStations)*1)),"Hors plage (étendre le calendrier)")</f>
        <v/>
      </c>
      <c r="C5" s="32" t="inlineStr">
        <is>
          <t>(calcul automatique — se recalcule si le rythme réel, la cadence ou la liste des process changent)</t>
        </is>
      </c>
    </row>
    <row r="6" ht="15" customHeight="1" s="18"/>
    <row r="7" ht="35.05" customHeight="1" s="18">
      <c r="A7" s="30" t="inlineStr">
        <is>
          <t>Planning par process — ordre de traitement (dates calculées automatiquement)</t>
        </is>
      </c>
    </row>
    <row r="8" ht="27" customHeight="1" s="18">
      <c r="A8" s="35" t="inlineStr">
        <is>
          <t>Process</t>
        </is>
      </c>
      <c r="B8" s="35" t="inlineStr">
        <is>
          <t>Nb stations</t>
        </is>
      </c>
      <c r="C8" s="35" t="inlineStr">
        <is>
          <t>Temps/station (min)</t>
        </is>
      </c>
      <c r="D8" s="35" t="inlineStr">
        <is>
          <t>Date début (calculée)</t>
        </is>
      </c>
      <c r="E8" s="35" t="inlineStr">
        <is>
          <t>Date fin (calculée)</t>
        </is>
      </c>
      <c r="F8" s="36" t="inlineStr">
        <is>
          <t>Cumul fin (nb stations)</t>
        </is>
      </c>
      <c r="G8" s="36" t="inlineStr">
        <is>
          <t>Rang (aide au calcul)</t>
        </is>
      </c>
    </row>
    <row r="9" ht="15" customHeight="1" s="18">
      <c r="A9" s="37" t="inlineStr">
        <is>
          <t>Medium</t>
        </is>
      </c>
      <c r="B9" s="38" t="n">
        <v>54</v>
      </c>
      <c r="C9" s="38" t="n">
        <v>130</v>
      </c>
      <c r="D9" s="39">
        <f>IF(A9="","",INDEX($A$48:$A$267,1))</f>
        <v/>
      </c>
      <c r="E9" s="39">
        <f>IF(A9="","",IFERROR(INDEX($A$48:$A$267,SUMPRODUCT(($C$48:$C$267&lt;F9)*1)),"Hors plage"))</f>
        <v/>
      </c>
      <c r="F9" s="40">
        <f>SUM($B$9:B9)</f>
        <v/>
      </c>
      <c r="G9" s="41">
        <f>IF(A9="","",SUMPRODUCT(($A$9:A9&lt;&gt;"")*1))</f>
        <v/>
      </c>
    </row>
    <row r="10" ht="15" customHeight="1" s="18">
      <c r="A10" s="37" t="inlineStr">
        <is>
          <t>PCNS</t>
        </is>
      </c>
      <c r="B10" s="38" t="n">
        <v>16</v>
      </c>
      <c r="C10" s="38" t="n">
        <v>90</v>
      </c>
      <c r="D10" s="39">
        <f>IF(A10="","",IFERROR(INDEX($A$48:$A$267,SUMPRODUCT(($C$48:$C$267&lt;F9)*1)+1),"Hors plage"))</f>
        <v/>
      </c>
      <c r="E10" s="39">
        <f>IF(A10="","",IFERROR(INDEX($A$48:$A$267,SUMPRODUCT(($C$48:$C$267&lt;F10)*1)),"Hors plage"))</f>
        <v/>
      </c>
      <c r="F10" s="40">
        <f>SUM($B$9:B10)</f>
        <v/>
      </c>
      <c r="G10" s="41">
        <f>IF(A10="","",SUMPRODUCT(($A$9:A10&lt;&gt;"")*1))</f>
        <v/>
      </c>
    </row>
    <row r="11" ht="15" customHeight="1" s="18">
      <c r="A11" s="37" t="inlineStr">
        <is>
          <t>KO</t>
        </is>
      </c>
      <c r="B11" s="38" t="n">
        <v>4</v>
      </c>
      <c r="C11" s="38" t="n">
        <v>110</v>
      </c>
      <c r="D11" s="39">
        <f>IF(A11="","",IFERROR(INDEX($A$48:$A$267,SUMPRODUCT(($C$48:$C$267&lt;F10)*1)+1),"Hors plage"))</f>
        <v/>
      </c>
      <c r="E11" s="39">
        <f>IF(A11="","",IFERROR(INDEX($A$48:$A$267,SUMPRODUCT(($C$48:$C$267&lt;F11)*1)),"Hors plage"))</f>
        <v/>
      </c>
      <c r="F11" s="40">
        <f>SUM($B$9:B11)</f>
        <v/>
      </c>
      <c r="G11" s="41">
        <f>IF(A11="","",SUMPRODUCT(($A$9:A11&lt;&gt;"")*1))</f>
        <v/>
      </c>
    </row>
    <row r="12" ht="15" customHeight="1" s="18">
      <c r="A12" s="37" t="inlineStr">
        <is>
          <t>P2R</t>
        </is>
      </c>
      <c r="B12" s="38" t="n">
        <v>60</v>
      </c>
      <c r="C12" s="38" t="n">
        <v>30</v>
      </c>
      <c r="D12" s="39">
        <f>IF(A12="","",IFERROR(INDEX($A$48:$A$267,SUMPRODUCT(($C$48:$C$267&lt;F11)*1)+1),"Hors plage"))</f>
        <v/>
      </c>
      <c r="E12" s="39">
        <f>IF(A12="","",IFERROR(INDEX($A$48:$A$267,SUMPRODUCT(($C$48:$C$267&lt;F12)*1)),"Hors plage"))</f>
        <v/>
      </c>
      <c r="F12" s="40">
        <f>SUM($B$9:B12)</f>
        <v/>
      </c>
      <c r="G12" s="41">
        <f>IF(A12="","",SUMPRODUCT(($A$9:A12&lt;&gt;"")*1))</f>
        <v/>
      </c>
    </row>
    <row r="13" ht="15" customHeight="1" s="18">
      <c r="A13" s="37" t="inlineStr">
        <is>
          <t>Jackpot</t>
        </is>
      </c>
      <c r="B13" s="38" t="n">
        <v>2</v>
      </c>
      <c r="C13" s="38" t="n">
        <v>110</v>
      </c>
      <c r="D13" s="39">
        <f>IF(A13="","",IFERROR(INDEX($A$48:$A$267,SUMPRODUCT(($C$48:$C$267&lt;F12)*1)+1),"Hors plage"))</f>
        <v/>
      </c>
      <c r="E13" s="39">
        <f>IF(A13="","",IFERROR(INDEX($A$48:$A$267,SUMPRODUCT(($C$48:$C$267&lt;F13)*1)),"Hors plage"))</f>
        <v/>
      </c>
      <c r="F13" s="40">
        <f>SUM($B$9:B13)</f>
        <v/>
      </c>
      <c r="G13" s="41">
        <f>IF(A13="","",SUMPRODUCT(($A$9:A13&lt;&gt;"")*1))</f>
        <v/>
      </c>
    </row>
    <row r="14" ht="15" customHeight="1" s="18">
      <c r="A14" s="37" t="inlineStr">
        <is>
          <t>Vred</t>
        </is>
      </c>
      <c r="B14" s="38" t="n">
        <v>6</v>
      </c>
      <c r="C14" s="38" t="n">
        <v>110</v>
      </c>
      <c r="D14" s="39">
        <f>IF(A14="","",IFERROR(INDEX($A$48:$A$267,SUMPRODUCT(($C$48:$C$267&lt;F13)*1)+1),"Hors plage"))</f>
        <v/>
      </c>
      <c r="E14" s="39">
        <f>IF(A14="","",IFERROR(INDEX($A$48:$A$267,SUMPRODUCT(($C$48:$C$267&lt;F14)*1)),"Hors plage"))</f>
        <v/>
      </c>
      <c r="F14" s="40">
        <f>SUM($B$9:B14)</f>
        <v/>
      </c>
      <c r="G14" s="41">
        <f>IF(A14="","",SUMPRODUCT(($A$9:A14&lt;&gt;"")*1))</f>
        <v/>
      </c>
    </row>
    <row r="15" ht="15" customHeight="1" s="18">
      <c r="A15" s="37" t="inlineStr">
        <is>
          <t>Slam</t>
        </is>
      </c>
      <c r="B15" s="38" t="n">
        <v>4</v>
      </c>
      <c r="C15" s="38" t="n">
        <v>110</v>
      </c>
      <c r="D15" s="39">
        <f>IF(A15="","",IFERROR(INDEX($A$48:$A$267,SUMPRODUCT(($C$48:$C$267&lt;F14)*1)+1),"Hors plage"))</f>
        <v/>
      </c>
      <c r="E15" s="39">
        <f>IF(A15="","",IFERROR(INDEX($A$48:$A$267,SUMPRODUCT(($C$48:$C$267&lt;F15)*1)),"Hors plage"))</f>
        <v/>
      </c>
      <c r="F15" s="40">
        <f>SUM($B$9:B15)</f>
        <v/>
      </c>
      <c r="G15" s="41">
        <f>IF(A15="","",SUMPRODUCT(($A$9:A15&lt;&gt;"")*1))</f>
        <v/>
      </c>
    </row>
    <row r="16" ht="15" customHeight="1" s="18">
      <c r="A16" s="37" t="inlineStr">
        <is>
          <t>Solving</t>
        </is>
      </c>
      <c r="B16" s="38" t="n">
        <v>4</v>
      </c>
      <c r="C16" s="38" t="n">
        <v>110</v>
      </c>
      <c r="D16" s="39">
        <f>IF(A16="","",IFERROR(INDEX($A$48:$A$267,SUMPRODUCT(($C$48:$C$267&lt;F15)*1)+1),"Hors plage"))</f>
        <v/>
      </c>
      <c r="E16" s="39">
        <f>IF(A16="","",IFERROR(INDEX($A$48:$A$267,SUMPRODUCT(($C$48:$C$267&lt;F16)*1)),"Hors plage"))</f>
        <v/>
      </c>
      <c r="F16" s="40">
        <f>SUM($B$9:B16)</f>
        <v/>
      </c>
      <c r="G16" s="41">
        <f>IF(A16="","",SUMPRODUCT(($A$9:A16&lt;&gt;"")*1))</f>
        <v/>
      </c>
    </row>
    <row r="17" ht="15" customHeight="1" s="18">
      <c r="A17" s="37" t="n"/>
      <c r="B17" s="38" t="n"/>
      <c r="C17" s="38" t="n"/>
      <c r="D17" s="39">
        <f>IF(A17="","",IFERROR(INDEX($A$48:$A$267,SUMPRODUCT(($C$48:$C$267&lt;F16)*1)+1),"Hors plage"))</f>
        <v/>
      </c>
      <c r="E17" s="39">
        <f>IF(A17="","",IFERROR(INDEX($A$48:$A$267,SUMPRODUCT(($C$48:$C$267&lt;F17)*1)),"Hors plage"))</f>
        <v/>
      </c>
      <c r="F17" s="40">
        <f>SUM($B$9:B17)</f>
        <v/>
      </c>
      <c r="G17" s="41">
        <f>IF(A17="","",SUMPRODUCT(($A$9:A17&lt;&gt;"")*1))</f>
        <v/>
      </c>
    </row>
    <row r="18" ht="15" customHeight="1" s="18">
      <c r="A18" s="37" t="n"/>
      <c r="B18" s="38" t="n"/>
      <c r="C18" s="38" t="n"/>
      <c r="D18" s="39">
        <f>IF(A18="","",IFERROR(INDEX($A$48:$A$267,SUMPRODUCT(($C$48:$C$267&lt;F17)*1)+1),"Hors plage"))</f>
        <v/>
      </c>
      <c r="E18" s="39">
        <f>IF(A18="","",IFERROR(INDEX($A$48:$A$267,SUMPRODUCT(($C$48:$C$267&lt;F18)*1)),"Hors plage"))</f>
        <v/>
      </c>
      <c r="F18" s="40">
        <f>SUM($B$9:B18)</f>
        <v/>
      </c>
      <c r="G18" s="41">
        <f>IF(A18="","",SUMPRODUCT(($A$9:A18&lt;&gt;"")*1))</f>
        <v/>
      </c>
    </row>
    <row r="19" ht="15" customHeight="1" s="18">
      <c r="A19" s="37" t="n"/>
      <c r="B19" s="38" t="n"/>
      <c r="C19" s="38" t="n"/>
      <c r="D19" s="39">
        <f>IF(A19="","",IFERROR(INDEX($A$48:$A$267,SUMPRODUCT(($C$48:$C$267&lt;F18)*1)+1),"Hors plage"))</f>
        <v/>
      </c>
      <c r="E19" s="39">
        <f>IF(A19="","",IFERROR(INDEX($A$48:$A$267,SUMPRODUCT(($C$48:$C$267&lt;F19)*1)),"Hors plage"))</f>
        <v/>
      </c>
      <c r="F19" s="40">
        <f>SUM($B$9:B19)</f>
        <v/>
      </c>
      <c r="G19" s="41">
        <f>IF(A19="","",SUMPRODUCT(($A$9:A19&lt;&gt;"")*1))</f>
        <v/>
      </c>
    </row>
    <row r="20" ht="15" customHeight="1" s="18">
      <c r="A20" s="37" t="n"/>
      <c r="B20" s="38" t="n"/>
      <c r="C20" s="38" t="n"/>
      <c r="D20" s="39">
        <f>IF(A20="","",IFERROR(INDEX($A$48:$A$267,SUMPRODUCT(($C$48:$C$267&lt;F19)*1)+1),"Hors plage"))</f>
        <v/>
      </c>
      <c r="E20" s="39">
        <f>IF(A20="","",IFERROR(INDEX($A$48:$A$267,SUMPRODUCT(($C$48:$C$267&lt;F20)*1)),"Hors plage"))</f>
        <v/>
      </c>
      <c r="F20" s="40">
        <f>SUM($B$9:B20)</f>
        <v/>
      </c>
      <c r="G20" s="41">
        <f>IF(A20="","",SUMPRODUCT(($A$9:A20&lt;&gt;"")*1))</f>
        <v/>
      </c>
    </row>
    <row r="21" ht="15" customHeight="1" s="18">
      <c r="A21" s="37" t="n"/>
      <c r="B21" s="38" t="n"/>
      <c r="C21" s="38" t="n"/>
      <c r="D21" s="39">
        <f>IF(A21="","",IFERROR(INDEX($A$48:$A$267,SUMPRODUCT(($C$48:$C$267&lt;F20)*1)+1),"Hors plage"))</f>
        <v/>
      </c>
      <c r="E21" s="39">
        <f>IF(A21="","",IFERROR(INDEX($A$48:$A$267,SUMPRODUCT(($C$48:$C$267&lt;F21)*1)),"Hors plage"))</f>
        <v/>
      </c>
      <c r="F21" s="40">
        <f>SUM($B$9:B21)</f>
        <v/>
      </c>
      <c r="G21" s="41">
        <f>IF(A21="","",SUMPRODUCT(($A$9:A21&lt;&gt;"")*1))</f>
        <v/>
      </c>
    </row>
    <row r="22" ht="15" customHeight="1" s="18">
      <c r="A22" s="37" t="n"/>
      <c r="B22" s="38" t="n"/>
      <c r="C22" s="38" t="n"/>
      <c r="D22" s="39">
        <f>IF(A22="","",IFERROR(INDEX($A$48:$A$267,SUMPRODUCT(($C$48:$C$267&lt;F21)*1)+1),"Hors plage"))</f>
        <v/>
      </c>
      <c r="E22" s="39">
        <f>IF(A22="","",IFERROR(INDEX($A$48:$A$267,SUMPRODUCT(($C$48:$C$267&lt;F22)*1)),"Hors plage"))</f>
        <v/>
      </c>
      <c r="F22" s="40">
        <f>SUM($B$9:B22)</f>
        <v/>
      </c>
      <c r="G22" s="41">
        <f>IF(A22="","",SUMPRODUCT(($A$9:A22&lt;&gt;"")*1))</f>
        <v/>
      </c>
    </row>
    <row r="23" ht="15" customHeight="1" s="18">
      <c r="A23" s="37" t="n"/>
      <c r="B23" s="38" t="n"/>
      <c r="C23" s="38" t="n"/>
      <c r="D23" s="39">
        <f>IF(A23="","",IFERROR(INDEX($A$48:$A$267,SUMPRODUCT(($C$48:$C$267&lt;F22)*1)+1),"Hors plage"))</f>
        <v/>
      </c>
      <c r="E23" s="39">
        <f>IF(A23="","",IFERROR(INDEX($A$48:$A$267,SUMPRODUCT(($C$48:$C$267&lt;F23)*1)),"Hors plage"))</f>
        <v/>
      </c>
      <c r="F23" s="40">
        <f>SUM($B$9:B23)</f>
        <v/>
      </c>
      <c r="G23" s="41">
        <f>IF(A23="","",SUMPRODUCT(($A$9:A23&lt;&gt;"")*1))</f>
        <v/>
      </c>
    </row>
    <row r="24" ht="15" customHeight="1" s="18">
      <c r="A24" s="37" t="n"/>
      <c r="B24" s="38" t="n"/>
      <c r="C24" s="38" t="n"/>
      <c r="D24" s="39">
        <f>IF(A24="","",IFERROR(INDEX($A$48:$A$267,SUMPRODUCT(($C$48:$C$267&lt;F23)*1)+1),"Hors plage"))</f>
        <v/>
      </c>
      <c r="E24" s="39">
        <f>IF(A24="","",IFERROR(INDEX($A$48:$A$267,SUMPRODUCT(($C$48:$C$267&lt;F24)*1)),"Hors plage"))</f>
        <v/>
      </c>
      <c r="F24" s="40">
        <f>SUM($B$9:B24)</f>
        <v/>
      </c>
      <c r="G24" s="41">
        <f>IF(A24="","",SUMPRODUCT(($A$9:A24&lt;&gt;"")*1))</f>
        <v/>
      </c>
    </row>
    <row r="25" ht="15" customHeight="1" s="18">
      <c r="A25" s="37" t="n"/>
      <c r="B25" s="38" t="n"/>
      <c r="C25" s="38" t="n"/>
      <c r="D25" s="39">
        <f>IF(A25="","",IFERROR(INDEX($A$48:$A$267,SUMPRODUCT(($C$48:$C$267&lt;F24)*1)+1),"Hors plage"))</f>
        <v/>
      </c>
      <c r="E25" s="39">
        <f>IF(A25="","",IFERROR(INDEX($A$48:$A$267,SUMPRODUCT(($C$48:$C$267&lt;F25)*1)),"Hors plage"))</f>
        <v/>
      </c>
      <c r="F25" s="40">
        <f>SUM($B$9:B25)</f>
        <v/>
      </c>
      <c r="G25" s="41">
        <f>IF(A25="","",SUMPRODUCT(($A$9:A25&lt;&gt;"")*1))</f>
        <v/>
      </c>
    </row>
    <row r="26" ht="15" customHeight="1" s="18">
      <c r="A26" s="37" t="n"/>
      <c r="B26" s="38" t="n"/>
      <c r="C26" s="38" t="n"/>
      <c r="D26" s="39">
        <f>IF(A26="","",IFERROR(INDEX($A$48:$A$267,SUMPRODUCT(($C$48:$C$267&lt;F25)*1)+1),"Hors plage"))</f>
        <v/>
      </c>
      <c r="E26" s="39">
        <f>IF(A26="","",IFERROR(INDEX($A$48:$A$267,SUMPRODUCT(($C$48:$C$267&lt;F26)*1)),"Hors plage"))</f>
        <v/>
      </c>
      <c r="F26" s="40">
        <f>SUM($B$9:B26)</f>
        <v/>
      </c>
      <c r="G26" s="41">
        <f>IF(A26="","",SUMPRODUCT(($A$9:A26&lt;&gt;"")*1))</f>
        <v/>
      </c>
    </row>
    <row r="27" ht="15" customHeight="1" s="18">
      <c r="A27" s="37" t="n"/>
      <c r="B27" s="38" t="n"/>
      <c r="C27" s="38" t="n"/>
      <c r="D27" s="39">
        <f>IF(A27="","",IFERROR(INDEX($A$48:$A$267,SUMPRODUCT(($C$48:$C$267&lt;F26)*1)+1),"Hors plage"))</f>
        <v/>
      </c>
      <c r="E27" s="39">
        <f>IF(A27="","",IFERROR(INDEX($A$48:$A$267,SUMPRODUCT(($C$48:$C$267&lt;F27)*1)),"Hors plage"))</f>
        <v/>
      </c>
      <c r="F27" s="40">
        <f>SUM($B$9:B27)</f>
        <v/>
      </c>
      <c r="G27" s="41">
        <f>IF(A27="","",SUMPRODUCT(($A$9:A27&lt;&gt;"")*1))</f>
        <v/>
      </c>
    </row>
    <row r="28" ht="15" customHeight="1" s="18">
      <c r="A28" s="37" t="n"/>
      <c r="B28" s="38" t="n"/>
      <c r="C28" s="38" t="n"/>
      <c r="D28" s="39">
        <f>IF(A28="","",IFERROR(INDEX($A$48:$A$267,SUMPRODUCT(($C$48:$C$267&lt;F27)*1)+1),"Hors plage"))</f>
        <v/>
      </c>
      <c r="E28" s="39">
        <f>IF(A28="","",IFERROR(INDEX($A$48:$A$267,SUMPRODUCT(($C$48:$C$267&lt;F28)*1)),"Hors plage"))</f>
        <v/>
      </c>
      <c r="F28" s="40">
        <f>SUM($B$9:B28)</f>
        <v/>
      </c>
      <c r="G28" s="41">
        <f>IF(A28="","",SUMPRODUCT(($A$9:A28&lt;&gt;"")*1))</f>
        <v/>
      </c>
    </row>
    <row r="29" ht="15" customHeight="1" s="18">
      <c r="A29" s="37" t="n"/>
      <c r="B29" s="38" t="n"/>
      <c r="C29" s="38" t="n"/>
      <c r="D29" s="39">
        <f>IF(A29="","",IFERROR(INDEX($A$48:$A$267,SUMPRODUCT(($C$48:$C$267&lt;F28)*1)+1),"Hors plage"))</f>
        <v/>
      </c>
      <c r="E29" s="39">
        <f>IF(A29="","",IFERROR(INDEX($A$48:$A$267,SUMPRODUCT(($C$48:$C$267&lt;F29)*1)),"Hors plage"))</f>
        <v/>
      </c>
      <c r="F29" s="40">
        <f>SUM($B$9:B29)</f>
        <v/>
      </c>
      <c r="G29" s="41">
        <f>IF(A29="","",SUMPRODUCT(($A$9:A29&lt;&gt;"")*1))</f>
        <v/>
      </c>
    </row>
    <row r="30" ht="15" customHeight="1" s="18">
      <c r="A30" s="37" t="n"/>
      <c r="B30" s="38" t="n"/>
      <c r="C30" s="38" t="n"/>
      <c r="D30" s="39">
        <f>IF(A30="","",IFERROR(INDEX($A$48:$A$267,SUMPRODUCT(($C$48:$C$267&lt;F29)*1)+1),"Hors plage"))</f>
        <v/>
      </c>
      <c r="E30" s="39">
        <f>IF(A30="","",IFERROR(INDEX($A$48:$A$267,SUMPRODUCT(($C$48:$C$267&lt;F30)*1)),"Hors plage"))</f>
        <v/>
      </c>
      <c r="F30" s="40">
        <f>SUM($B$9:B30)</f>
        <v/>
      </c>
      <c r="G30" s="41">
        <f>IF(A30="","",SUMPRODUCT(($A$9:A30&lt;&gt;"")*1))</f>
        <v/>
      </c>
    </row>
    <row r="31" ht="15" customHeight="1" s="18">
      <c r="A31" s="37" t="n"/>
      <c r="B31" s="38" t="n"/>
      <c r="C31" s="38" t="n"/>
      <c r="D31" s="39">
        <f>IF(A31="","",IFERROR(INDEX($A$48:$A$267,SUMPRODUCT(($C$48:$C$267&lt;F30)*1)+1),"Hors plage"))</f>
        <v/>
      </c>
      <c r="E31" s="39">
        <f>IF(A31="","",IFERROR(INDEX($A$48:$A$267,SUMPRODUCT(($C$48:$C$267&lt;F31)*1)),"Hors plage"))</f>
        <v/>
      </c>
      <c r="F31" s="40">
        <f>SUM($B$9:B31)</f>
        <v/>
      </c>
      <c r="G31" s="41">
        <f>IF(A31="","",SUMPRODUCT(($A$9:A31&lt;&gt;"")*1))</f>
        <v/>
      </c>
    </row>
    <row r="32" ht="15" customHeight="1" s="18">
      <c r="A32" s="37" t="n"/>
      <c r="B32" s="38" t="n"/>
      <c r="C32" s="38" t="n"/>
      <c r="D32" s="39">
        <f>IF(A32="","",IFERROR(INDEX($A$48:$A$267,SUMPRODUCT(($C$48:$C$267&lt;F31)*1)+1),"Hors plage"))</f>
        <v/>
      </c>
      <c r="E32" s="39">
        <f>IF(A32="","",IFERROR(INDEX($A$48:$A$267,SUMPRODUCT(($C$48:$C$267&lt;F32)*1)),"Hors plage"))</f>
        <v/>
      </c>
      <c r="F32" s="40">
        <f>SUM($B$9:B32)</f>
        <v/>
      </c>
      <c r="G32" s="41">
        <f>IF(A32="","",SUMPRODUCT(($A$9:A32&lt;&gt;"")*1))</f>
        <v/>
      </c>
    </row>
    <row r="33" ht="15" customHeight="1" s="18">
      <c r="A33" s="37" t="n"/>
      <c r="B33" s="38" t="n"/>
      <c r="C33" s="38" t="n"/>
      <c r="D33" s="39">
        <f>IF(A33="","",IFERROR(INDEX($A$48:$A$267,SUMPRODUCT(($C$48:$C$267&lt;F32)*1)+1),"Hors plage"))</f>
        <v/>
      </c>
      <c r="E33" s="39">
        <f>IF(A33="","",IFERROR(INDEX($A$48:$A$267,SUMPRODUCT(($C$48:$C$267&lt;F33)*1)),"Hors plage"))</f>
        <v/>
      </c>
      <c r="F33" s="40">
        <f>SUM($B$9:B33)</f>
        <v/>
      </c>
      <c r="G33" s="41">
        <f>IF(A33="","",SUMPRODUCT(($A$9:A33&lt;&gt;"")*1))</f>
        <v/>
      </c>
    </row>
    <row r="34" ht="15" customHeight="1" s="18">
      <c r="A34" s="37" t="n"/>
      <c r="B34" s="38" t="n"/>
      <c r="C34" s="38" t="n"/>
      <c r="D34" s="39">
        <f>IF(A34="","",IFERROR(INDEX($A$48:$A$267,SUMPRODUCT(($C$48:$C$267&lt;F33)*1)+1),"Hors plage"))</f>
        <v/>
      </c>
      <c r="E34" s="39">
        <f>IF(A34="","",IFERROR(INDEX($A$48:$A$267,SUMPRODUCT(($C$48:$C$267&lt;F34)*1)),"Hors plage"))</f>
        <v/>
      </c>
      <c r="F34" s="40">
        <f>SUM($B$9:B34)</f>
        <v/>
      </c>
      <c r="G34" s="41">
        <f>IF(A34="","",SUMPRODUCT(($A$9:A34&lt;&gt;"")*1))</f>
        <v/>
      </c>
    </row>
    <row r="35" ht="15" customHeight="1" s="18">
      <c r="A35" s="37" t="n"/>
      <c r="B35" s="38" t="n"/>
      <c r="C35" s="38" t="n"/>
      <c r="D35" s="39">
        <f>IF(A35="","",IFERROR(INDEX($A$48:$A$267,SUMPRODUCT(($C$48:$C$267&lt;F34)*1)+1),"Hors plage"))</f>
        <v/>
      </c>
      <c r="E35" s="39">
        <f>IF(A35="","",IFERROR(INDEX($A$48:$A$267,SUMPRODUCT(($C$48:$C$267&lt;F35)*1)),"Hors plage"))</f>
        <v/>
      </c>
      <c r="F35" s="40">
        <f>SUM($B$9:B35)</f>
        <v/>
      </c>
      <c r="G35" s="41">
        <f>IF(A35="","",SUMPRODUCT(($A$9:A35&lt;&gt;"")*1))</f>
        <v/>
      </c>
    </row>
    <row r="36" ht="15" customHeight="1" s="18">
      <c r="A36" s="37" t="n"/>
      <c r="B36" s="38" t="n"/>
      <c r="C36" s="38" t="n"/>
      <c r="D36" s="39">
        <f>IF(A36="","",IFERROR(INDEX($A$48:$A$267,SUMPRODUCT(($C$48:$C$267&lt;F35)*1)+1),"Hors plage"))</f>
        <v/>
      </c>
      <c r="E36" s="39">
        <f>IF(A36="","",IFERROR(INDEX($A$48:$A$267,SUMPRODUCT(($C$48:$C$267&lt;F36)*1)),"Hors plage"))</f>
        <v/>
      </c>
      <c r="F36" s="40">
        <f>SUM($B$9:B36)</f>
        <v/>
      </c>
      <c r="G36" s="41">
        <f>IF(A36="","",SUMPRODUCT(($A$9:A36&lt;&gt;"")*1))</f>
        <v/>
      </c>
    </row>
    <row r="37" ht="15" customHeight="1" s="18">
      <c r="A37" s="37" t="n"/>
      <c r="B37" s="38" t="n"/>
      <c r="C37" s="38" t="n"/>
      <c r="D37" s="39">
        <f>IF(A37="","",IFERROR(INDEX($A$48:$A$267,SUMPRODUCT(($C$48:$C$267&lt;F36)*1)+1),"Hors plage"))</f>
        <v/>
      </c>
      <c r="E37" s="39">
        <f>IF(A37="","",IFERROR(INDEX($A$48:$A$267,SUMPRODUCT(($C$48:$C$267&lt;F37)*1)),"Hors plage"))</f>
        <v/>
      </c>
      <c r="F37" s="40">
        <f>SUM($B$9:B37)</f>
        <v/>
      </c>
      <c r="G37" s="41">
        <f>IF(A37="","",SUMPRODUCT(($A$9:A37&lt;&gt;"")*1))</f>
        <v/>
      </c>
    </row>
    <row r="38" ht="15" customHeight="1" s="18">
      <c r="A38" s="37" t="n"/>
      <c r="B38" s="38" t="n"/>
      <c r="C38" s="38" t="n"/>
      <c r="D38" s="39">
        <f>IF(A38="","",IFERROR(INDEX($A$48:$A$267,SUMPRODUCT(($C$48:$C$267&lt;F37)*1)+1),"Hors plage"))</f>
        <v/>
      </c>
      <c r="E38" s="39">
        <f>IF(A38="","",IFERROR(INDEX($A$48:$A$267,SUMPRODUCT(($C$48:$C$267&lt;F38)*1)),"Hors plage"))</f>
        <v/>
      </c>
      <c r="F38" s="40">
        <f>SUM($B$9:B38)</f>
        <v/>
      </c>
      <c r="G38" s="41">
        <f>IF(A38="","",SUMPRODUCT(($A$9:A38&lt;&gt;"")*1))</f>
        <v/>
      </c>
    </row>
    <row r="40" ht="15" customHeight="1" s="18">
      <c r="A40" s="30" t="inlineStr">
        <is>
          <t>Total stations (calcul automatique) :</t>
        </is>
      </c>
      <c r="F40" s="42">
        <f>SUM($B$9:$B$38)</f>
        <v/>
      </c>
    </row>
    <row r="41" ht="15" customHeight="1" s="18">
      <c r="A41" s="43" t="inlineStr">
        <is>
          <t>Ordre retenu : Medium → PCNS → KO → P2R → Jackpot → Vred → Slam → Solving (ordre du tableau ci-dessus, de haut en bas).</t>
        </is>
      </c>
    </row>
    <row r="42" ht="42" customHeight="1" s="18">
      <c r="A42" s="43" t="inlineStr">
        <is>
          <t>Ajout d'un process : remplissez la prochaine ligne vide du tableau ci-dessus (Process / Nb stations / Temps par station). Retrait d'un process : videz ces 3 cellules sur sa ligne, même au milieu de la liste (la colonne "Rang" gère les trous). Dans les deux cas, le "Total stations", les "Date début/fin" de chaque process, le "Cumul fin", le process en cours, la capacité/jour et la "Date de fin" ci-dessus se recalculent automatiquement, sans toucher à aucune formule.</t>
        </is>
      </c>
    </row>
    <row r="43" ht="42" customHeight="1" s="18">
      <c r="A43" s="43" t="inlineStr">
        <is>
          <t>Limite connue : sur une journée à budget-temps ("Dédié" ou cadence "Plein temps (7h)"), le calcul s'arrête au nombre entier de stations du process en cours et n'utilise pas les minutes restantes pour enchaîner sur le process suivant le même jour. En cadence "1" ou "2", ça ne change rien (les 2 et 9 septembre tombent en plein milieu de la phase Medium). En cadence "Plein temps (7h)", ça peut décaler la date de fin de 1 à 2 jours par rapport au dossier de cadrage (qui, lui, tient compte de cet enchaînement).</t>
        </is>
      </c>
    </row>
    <row r="44" ht="27.75" customHeight="1" s="18">
      <c r="A44" s="43" t="inlineStr">
        <is>
          <t>Légende : cellules en bleu sur fond jaune = à remplir. Colonne "Stations réalisées" à mettre à jour chaque jour ; tout le reste se recalcule automatiquement (le calendrier s'adapte si le rythme réel dévie du prévu).</t>
        </is>
      </c>
    </row>
    <row r="45" ht="55" customHeight="1" s="18">
      <c r="A45" s="43" t="inlineStr">
        <is>
          <t>Les journées « Dédié » (ex. 2 et 9 septembre 2026) ne sont plus à gérer à la main dans ce tableau : elles sont prises en compte automatiquement par le moteur de calcul jour par jour ci-dessous et se reflètent directement dans les "Date début/fin" de chaque process ci-dessus. Ce détail quotidien est replié par défaut (cliquez sur le petit "+" dans la marge de gauche, sous la ligne d'en-tête, pour le déplier) — à consulter ou compléter uniquement si vous voulez suivre/saisir l'avancement réel jour par jour ("Stations réalisées").</t>
        </is>
      </c>
    </row>
    <row r="46" ht="15" customHeight="1" s="18"/>
    <row r="47" hidden="1" outlineLevel="1" ht="30" customHeight="1" s="18">
      <c r="A47" s="35" t="inlineStr">
        <is>
          <t>Date</t>
        </is>
      </c>
      <c r="B47" s="35" t="inlineStr">
        <is>
          <t>Type de jour</t>
        </is>
      </c>
      <c r="C47" s="35" t="inlineStr">
        <is>
          <t>Cumul avant
ce jour</t>
        </is>
      </c>
      <c r="D47" s="35" t="inlineStr">
        <is>
          <t>Process
en cours</t>
        </is>
      </c>
      <c r="E47" s="35" t="inlineStr">
        <is>
          <t>Temps/station
(min)</t>
        </is>
      </c>
      <c r="F47" s="35" t="inlineStr">
        <is>
          <t>Stations
prévues</t>
        </is>
      </c>
      <c r="G47" s="35" t="inlineStr">
        <is>
          <t>Stations
réalisées</t>
        </is>
      </c>
      <c r="H47" s="35" t="inlineStr">
        <is>
          <t>Écart
du jour</t>
        </is>
      </c>
      <c r="I47" s="35" t="inlineStr">
        <is>
          <t>Écart
cumulé</t>
        </is>
      </c>
      <c r="J47" s="35" t="inlineStr">
        <is>
          <t>Cumul projeté
après ce jour</t>
        </is>
      </c>
    </row>
    <row r="48" hidden="1" outlineLevel="1" ht="15" customHeight="1" s="18">
      <c r="A48" s="44" t="n">
        <v>46265</v>
      </c>
      <c r="B48" s="45" t="inlineStr">
        <is>
          <t>Normal</t>
        </is>
      </c>
      <c r="C48" s="40" t="n">
        <v>0</v>
      </c>
      <c r="D48" s="40">
        <f>IF(C48&gt;=TotalStations,"Terminé",INDEX($A$9:$A$38,MATCH(SUMPRODUCT(($A$9:$A$38&lt;&gt;"")*($F$9:$F$38&lt;=C48))+1,$G$9:$G$38,0)))</f>
        <v/>
      </c>
      <c r="E48" s="40">
        <f>IF(C48&gt;=TotalStations,"",INDEX($C$9:$C$38,MATCH(SUMPRODUCT(($A$9:$A$38&lt;&gt;"")*($F$9:$F$38&lt;=C48))+1,$G$9:$G$38,0)))</f>
        <v/>
      </c>
      <c r="F48" s="40">
        <f>IF(C48&gt;=TotalStations,0,IF(OR(B48="Dédié",$B$3="Plein temps (7h)"),MIN(FLOOR(420/E48,1),TotalStations-C48),MIN(VALUE($B$3),TotalStations-C48)))</f>
        <v/>
      </c>
      <c r="G48" s="38" t="n"/>
      <c r="H48" s="40">
        <f>IF(G48="","",G48-F48)</f>
        <v/>
      </c>
      <c r="I48" s="40">
        <f>SUM($H$48:H48)</f>
        <v/>
      </c>
      <c r="J48" s="40">
        <f>C48+F48</f>
        <v/>
      </c>
    </row>
    <row r="49" hidden="1" outlineLevel="1" ht="15" customHeight="1" s="18">
      <c r="A49" s="44" t="n">
        <v>46266</v>
      </c>
      <c r="B49" s="45" t="inlineStr">
        <is>
          <t>Normal</t>
        </is>
      </c>
      <c r="C49" s="40">
        <f>C48+IF(G48="",F48,G48)</f>
        <v/>
      </c>
      <c r="D49" s="40">
        <f>IF(C49&gt;=TotalStations,"Terminé",INDEX($A$9:$A$38,MATCH(SUMPRODUCT(($A$9:$A$38&lt;&gt;"")*($F$9:$F$38&lt;=C49))+1,$G$9:$G$38,0)))</f>
        <v/>
      </c>
      <c r="E49" s="40">
        <f>IF(C49&gt;=TotalStations,"",INDEX($C$9:$C$38,MATCH(SUMPRODUCT(($A$9:$A$38&lt;&gt;"")*($F$9:$F$38&lt;=C49))+1,$G$9:$G$38,0)))</f>
        <v/>
      </c>
      <c r="F49" s="40">
        <f>IF(C49&gt;=TotalStations,0,IF(OR(B49="Dédié",$B$3="Plein temps (7h)"),MIN(FLOOR(420/E49,1),TotalStations-C49),MIN(VALUE($B$3),TotalStations-C49)))</f>
        <v/>
      </c>
      <c r="G49" s="38" t="n"/>
      <c r="H49" s="40">
        <f>IF(G49="","",G49-F49)</f>
        <v/>
      </c>
      <c r="I49" s="40">
        <f>SUM($H$48:H49)</f>
        <v/>
      </c>
      <c r="J49" s="40">
        <f>C49+F49</f>
        <v/>
      </c>
    </row>
    <row r="50" hidden="1" outlineLevel="1" ht="15" customHeight="1" s="18">
      <c r="A50" s="44" t="n">
        <v>46267</v>
      </c>
      <c r="B50" s="45" t="inlineStr">
        <is>
          <t>Dédié</t>
        </is>
      </c>
      <c r="C50" s="40">
        <f>C49+IF(G49="",F49,G49)</f>
        <v/>
      </c>
      <c r="D50" s="40">
        <f>IF(C50&gt;=TotalStations,"Terminé",INDEX($A$9:$A$38,MATCH(SUMPRODUCT(($A$9:$A$38&lt;&gt;"")*($F$9:$F$38&lt;=C50))+1,$G$9:$G$38,0)))</f>
        <v/>
      </c>
      <c r="E50" s="40">
        <f>IF(C50&gt;=TotalStations,"",INDEX($C$9:$C$38,MATCH(SUMPRODUCT(($A$9:$A$38&lt;&gt;"")*($F$9:$F$38&lt;=C50))+1,$G$9:$G$38,0)))</f>
        <v/>
      </c>
      <c r="F50" s="40">
        <f>IF(C50&gt;=TotalStations,0,IF(OR(B50="Dédié",$B$3="Plein temps (7h)"),MIN(FLOOR(420/E50,1),TotalStations-C50),MIN(VALUE($B$3),TotalStations-C50)))</f>
        <v/>
      </c>
      <c r="G50" s="38" t="n"/>
      <c r="H50" s="40">
        <f>IF(G50="","",G50-F50)</f>
        <v/>
      </c>
      <c r="I50" s="40">
        <f>SUM($H$48:H50)</f>
        <v/>
      </c>
      <c r="J50" s="40">
        <f>C50+F50</f>
        <v/>
      </c>
    </row>
    <row r="51" hidden="1" outlineLevel="1" ht="15" customHeight="1" s="18">
      <c r="A51" s="44" t="n">
        <v>46268</v>
      </c>
      <c r="B51" s="45" t="inlineStr">
        <is>
          <t>Normal</t>
        </is>
      </c>
      <c r="C51" s="40">
        <f>C50+IF(G50="",F50,G50)</f>
        <v/>
      </c>
      <c r="D51" s="40">
        <f>IF(C51&gt;=TotalStations,"Terminé",INDEX($A$9:$A$38,MATCH(SUMPRODUCT(($A$9:$A$38&lt;&gt;"")*($F$9:$F$38&lt;=C51))+1,$G$9:$G$38,0)))</f>
        <v/>
      </c>
      <c r="E51" s="40">
        <f>IF(C51&gt;=TotalStations,"",INDEX($C$9:$C$38,MATCH(SUMPRODUCT(($A$9:$A$38&lt;&gt;"")*($F$9:$F$38&lt;=C51))+1,$G$9:$G$38,0)))</f>
        <v/>
      </c>
      <c r="F51" s="40">
        <f>IF(C51&gt;=TotalStations,0,IF(OR(B51="Dédié",$B$3="Plein temps (7h)"),MIN(FLOOR(420/E51,1),TotalStations-C51),MIN(VALUE($B$3),TotalStations-C51)))</f>
        <v/>
      </c>
      <c r="G51" s="38" t="n"/>
      <c r="H51" s="40">
        <f>IF(G51="","",G51-F51)</f>
        <v/>
      </c>
      <c r="I51" s="40">
        <f>SUM($H$48:H51)</f>
        <v/>
      </c>
      <c r="J51" s="40">
        <f>C51+F51</f>
        <v/>
      </c>
    </row>
    <row r="52" hidden="1" outlineLevel="1" ht="15" customHeight="1" s="18">
      <c r="A52" s="44" t="n">
        <v>46269</v>
      </c>
      <c r="B52" s="45" t="inlineStr">
        <is>
          <t>Normal</t>
        </is>
      </c>
      <c r="C52" s="40">
        <f>C51+IF(G51="",F51,G51)</f>
        <v/>
      </c>
      <c r="D52" s="40">
        <f>IF(C52&gt;=TotalStations,"Terminé",INDEX($A$9:$A$38,MATCH(SUMPRODUCT(($A$9:$A$38&lt;&gt;"")*($F$9:$F$38&lt;=C52))+1,$G$9:$G$38,0)))</f>
        <v/>
      </c>
      <c r="E52" s="40">
        <f>IF(C52&gt;=TotalStations,"",INDEX($C$9:$C$38,MATCH(SUMPRODUCT(($A$9:$A$38&lt;&gt;"")*($F$9:$F$38&lt;=C52))+1,$G$9:$G$38,0)))</f>
        <v/>
      </c>
      <c r="F52" s="40">
        <f>IF(C52&gt;=TotalStations,0,IF(OR(B52="Dédié",$B$3="Plein temps (7h)"),MIN(FLOOR(420/E52,1),TotalStations-C52),MIN(VALUE($B$3),TotalStations-C52)))</f>
        <v/>
      </c>
      <c r="G52" s="38" t="n"/>
      <c r="H52" s="40">
        <f>IF(G52="","",G52-F52)</f>
        <v/>
      </c>
      <c r="I52" s="40">
        <f>SUM($H$48:H52)</f>
        <v/>
      </c>
      <c r="J52" s="40">
        <f>C52+F52</f>
        <v/>
      </c>
    </row>
    <row r="53" hidden="1" outlineLevel="1" ht="15" customHeight="1" s="18">
      <c r="A53" s="44" t="n">
        <v>46272</v>
      </c>
      <c r="B53" s="45" t="inlineStr">
        <is>
          <t>Normal</t>
        </is>
      </c>
      <c r="C53" s="40">
        <f>C52+IF(G52="",F52,G52)</f>
        <v/>
      </c>
      <c r="D53" s="40">
        <f>IF(C53&gt;=TotalStations,"Terminé",INDEX($A$9:$A$38,MATCH(SUMPRODUCT(($A$9:$A$38&lt;&gt;"")*($F$9:$F$38&lt;=C53))+1,$G$9:$G$38,0)))</f>
        <v/>
      </c>
      <c r="E53" s="40">
        <f>IF(C53&gt;=TotalStations,"",INDEX($C$9:$C$38,MATCH(SUMPRODUCT(($A$9:$A$38&lt;&gt;"")*($F$9:$F$38&lt;=C53))+1,$G$9:$G$38,0)))</f>
        <v/>
      </c>
      <c r="F53" s="40">
        <f>IF(C53&gt;=TotalStations,0,IF(OR(B53="Dédié",$B$3="Plein temps (7h)"),MIN(FLOOR(420/E53,1),TotalStations-C53),MIN(VALUE($B$3),TotalStations-C53)))</f>
        <v/>
      </c>
      <c r="G53" s="38" t="n"/>
      <c r="H53" s="40">
        <f>IF(G53="","",G53-F53)</f>
        <v/>
      </c>
      <c r="I53" s="40">
        <f>SUM($H$48:H53)</f>
        <v/>
      </c>
      <c r="J53" s="40">
        <f>C53+F53</f>
        <v/>
      </c>
    </row>
    <row r="54" hidden="1" outlineLevel="1" ht="15" customHeight="1" s="18">
      <c r="A54" s="44" t="n">
        <v>46273</v>
      </c>
      <c r="B54" s="45" t="inlineStr">
        <is>
          <t>Normal</t>
        </is>
      </c>
      <c r="C54" s="40">
        <f>C53+IF(G53="",F53,G53)</f>
        <v/>
      </c>
      <c r="D54" s="40">
        <f>IF(C54&gt;=TotalStations,"Terminé",INDEX($A$9:$A$38,MATCH(SUMPRODUCT(($A$9:$A$38&lt;&gt;"")*($F$9:$F$38&lt;=C54))+1,$G$9:$G$38,0)))</f>
        <v/>
      </c>
      <c r="E54" s="40">
        <f>IF(C54&gt;=TotalStations,"",INDEX($C$9:$C$38,MATCH(SUMPRODUCT(($A$9:$A$38&lt;&gt;"")*($F$9:$F$38&lt;=C54))+1,$G$9:$G$38,0)))</f>
        <v/>
      </c>
      <c r="F54" s="40">
        <f>IF(C54&gt;=TotalStations,0,IF(OR(B54="Dédié",$B$3="Plein temps (7h)"),MIN(FLOOR(420/E54,1),TotalStations-C54),MIN(VALUE($B$3),TotalStations-C54)))</f>
        <v/>
      </c>
      <c r="G54" s="38" t="n"/>
      <c r="H54" s="40">
        <f>IF(G54="","",G54-F54)</f>
        <v/>
      </c>
      <c r="I54" s="40">
        <f>SUM($H$48:H54)</f>
        <v/>
      </c>
      <c r="J54" s="40">
        <f>C54+F54</f>
        <v/>
      </c>
    </row>
    <row r="55" hidden="1" outlineLevel="1" ht="15" customHeight="1" s="18">
      <c r="A55" s="44" t="n">
        <v>46274</v>
      </c>
      <c r="B55" s="45" t="inlineStr">
        <is>
          <t>Dédié</t>
        </is>
      </c>
      <c r="C55" s="40">
        <f>C54+IF(G54="",F54,G54)</f>
        <v/>
      </c>
      <c r="D55" s="40">
        <f>IF(C55&gt;=TotalStations,"Terminé",INDEX($A$9:$A$38,MATCH(SUMPRODUCT(($A$9:$A$38&lt;&gt;"")*($F$9:$F$38&lt;=C55))+1,$G$9:$G$38,0)))</f>
        <v/>
      </c>
      <c r="E55" s="40">
        <f>IF(C55&gt;=TotalStations,"",INDEX($C$9:$C$38,MATCH(SUMPRODUCT(($A$9:$A$38&lt;&gt;"")*($F$9:$F$38&lt;=C55))+1,$G$9:$G$38,0)))</f>
        <v/>
      </c>
      <c r="F55" s="40">
        <f>IF(C55&gt;=TotalStations,0,IF(OR(B55="Dédié",$B$3="Plein temps (7h)"),MIN(FLOOR(420/E55,1),TotalStations-C55),MIN(VALUE($B$3),TotalStations-C55)))</f>
        <v/>
      </c>
      <c r="G55" s="38" t="n"/>
      <c r="H55" s="40">
        <f>IF(G55="","",G55-F55)</f>
        <v/>
      </c>
      <c r="I55" s="40">
        <f>SUM($H$48:H55)</f>
        <v/>
      </c>
      <c r="J55" s="40">
        <f>C55+F55</f>
        <v/>
      </c>
    </row>
    <row r="56" hidden="1" outlineLevel="1" ht="15" customHeight="1" s="18">
      <c r="A56" s="44" t="n">
        <v>46275</v>
      </c>
      <c r="B56" s="45" t="inlineStr">
        <is>
          <t>Normal</t>
        </is>
      </c>
      <c r="C56" s="40">
        <f>C55+IF(G55="",F55,G55)</f>
        <v/>
      </c>
      <c r="D56" s="40">
        <f>IF(C56&gt;=TotalStations,"Terminé",INDEX($A$9:$A$38,MATCH(SUMPRODUCT(($A$9:$A$38&lt;&gt;"")*($F$9:$F$38&lt;=C56))+1,$G$9:$G$38,0)))</f>
        <v/>
      </c>
      <c r="E56" s="40">
        <f>IF(C56&gt;=TotalStations,"",INDEX($C$9:$C$38,MATCH(SUMPRODUCT(($A$9:$A$38&lt;&gt;"")*($F$9:$F$38&lt;=C56))+1,$G$9:$G$38,0)))</f>
        <v/>
      </c>
      <c r="F56" s="40">
        <f>IF(C56&gt;=TotalStations,0,IF(OR(B56="Dédié",$B$3="Plein temps (7h)"),MIN(FLOOR(420/E56,1),TotalStations-C56),MIN(VALUE($B$3),TotalStations-C56)))</f>
        <v/>
      </c>
      <c r="G56" s="38" t="n"/>
      <c r="H56" s="40">
        <f>IF(G56="","",G56-F56)</f>
        <v/>
      </c>
      <c r="I56" s="40">
        <f>SUM($H$48:H56)</f>
        <v/>
      </c>
      <c r="J56" s="40">
        <f>C56+F56</f>
        <v/>
      </c>
    </row>
    <row r="57" hidden="1" outlineLevel="1" ht="15" customHeight="1" s="18">
      <c r="A57" s="44" t="n">
        <v>46276</v>
      </c>
      <c r="B57" s="45" t="inlineStr">
        <is>
          <t>Normal</t>
        </is>
      </c>
      <c r="C57" s="40">
        <f>C56+IF(G56="",F56,G56)</f>
        <v/>
      </c>
      <c r="D57" s="40">
        <f>IF(C57&gt;=TotalStations,"Terminé",INDEX($A$9:$A$38,MATCH(SUMPRODUCT(($A$9:$A$38&lt;&gt;"")*($F$9:$F$38&lt;=C57))+1,$G$9:$G$38,0)))</f>
        <v/>
      </c>
      <c r="E57" s="40">
        <f>IF(C57&gt;=TotalStations,"",INDEX($C$9:$C$38,MATCH(SUMPRODUCT(($A$9:$A$38&lt;&gt;"")*($F$9:$F$38&lt;=C57))+1,$G$9:$G$38,0)))</f>
        <v/>
      </c>
      <c r="F57" s="40">
        <f>IF(C57&gt;=TotalStations,0,IF(OR(B57="Dédié",$B$3="Plein temps (7h)"),MIN(FLOOR(420/E57,1),TotalStations-C57),MIN(VALUE($B$3),TotalStations-C57)))</f>
        <v/>
      </c>
      <c r="G57" s="38" t="n"/>
      <c r="H57" s="40">
        <f>IF(G57="","",G57-F57)</f>
        <v/>
      </c>
      <c r="I57" s="40">
        <f>SUM($H$48:H57)</f>
        <v/>
      </c>
      <c r="J57" s="40">
        <f>C57+F57</f>
        <v/>
      </c>
    </row>
    <row r="58" hidden="1" outlineLevel="1" ht="15" customHeight="1" s="18">
      <c r="A58" s="44" t="n">
        <v>46279</v>
      </c>
      <c r="B58" s="45" t="inlineStr">
        <is>
          <t>Normal</t>
        </is>
      </c>
      <c r="C58" s="40">
        <f>C57+IF(G57="",F57,G57)</f>
        <v/>
      </c>
      <c r="D58" s="40">
        <f>IF(C58&gt;=TotalStations,"Terminé",INDEX($A$9:$A$38,MATCH(SUMPRODUCT(($A$9:$A$38&lt;&gt;"")*($F$9:$F$38&lt;=C58))+1,$G$9:$G$38,0)))</f>
        <v/>
      </c>
      <c r="E58" s="40">
        <f>IF(C58&gt;=TotalStations,"",INDEX($C$9:$C$38,MATCH(SUMPRODUCT(($A$9:$A$38&lt;&gt;"")*($F$9:$F$38&lt;=C58))+1,$G$9:$G$38,0)))</f>
        <v/>
      </c>
      <c r="F58" s="40">
        <f>IF(C58&gt;=TotalStations,0,IF(OR(B58="Dédié",$B$3="Plein temps (7h)"),MIN(FLOOR(420/E58,1),TotalStations-C58),MIN(VALUE($B$3),TotalStations-C58)))</f>
        <v/>
      </c>
      <c r="G58" s="38" t="n"/>
      <c r="H58" s="40">
        <f>IF(G58="","",G58-F58)</f>
        <v/>
      </c>
      <c r="I58" s="40">
        <f>SUM($H$48:H58)</f>
        <v/>
      </c>
      <c r="J58" s="40">
        <f>C58+F58</f>
        <v/>
      </c>
    </row>
    <row r="59" hidden="1" outlineLevel="1" ht="15" customHeight="1" s="18">
      <c r="A59" s="44" t="n">
        <v>46280</v>
      </c>
      <c r="B59" s="45" t="inlineStr">
        <is>
          <t>Normal</t>
        </is>
      </c>
      <c r="C59" s="40">
        <f>C58+IF(G58="",F58,G58)</f>
        <v/>
      </c>
      <c r="D59" s="40">
        <f>IF(C59&gt;=TotalStations,"Terminé",INDEX($A$9:$A$38,MATCH(SUMPRODUCT(($A$9:$A$38&lt;&gt;"")*($F$9:$F$38&lt;=C59))+1,$G$9:$G$38,0)))</f>
        <v/>
      </c>
      <c r="E59" s="40">
        <f>IF(C59&gt;=TotalStations,"",INDEX($C$9:$C$38,MATCH(SUMPRODUCT(($A$9:$A$38&lt;&gt;"")*($F$9:$F$38&lt;=C59))+1,$G$9:$G$38,0)))</f>
        <v/>
      </c>
      <c r="F59" s="40">
        <f>IF(C59&gt;=TotalStations,0,IF(OR(B59="Dédié",$B$3="Plein temps (7h)"),MIN(FLOOR(420/E59,1),TotalStations-C59),MIN(VALUE($B$3),TotalStations-C59)))</f>
        <v/>
      </c>
      <c r="G59" s="38" t="n"/>
      <c r="H59" s="40">
        <f>IF(G59="","",G59-F59)</f>
        <v/>
      </c>
      <c r="I59" s="40">
        <f>SUM($H$48:H59)</f>
        <v/>
      </c>
      <c r="J59" s="40">
        <f>C59+F59</f>
        <v/>
      </c>
    </row>
    <row r="60" hidden="1" outlineLevel="1" ht="15" customHeight="1" s="18">
      <c r="A60" s="44" t="n">
        <v>46281</v>
      </c>
      <c r="B60" s="45" t="inlineStr">
        <is>
          <t>Normal</t>
        </is>
      </c>
      <c r="C60" s="40">
        <f>C59+IF(G59="",F59,G59)</f>
        <v/>
      </c>
      <c r="D60" s="40">
        <f>IF(C60&gt;=TotalStations,"Terminé",INDEX($A$9:$A$38,MATCH(SUMPRODUCT(($A$9:$A$38&lt;&gt;"")*($F$9:$F$38&lt;=C60))+1,$G$9:$G$38,0)))</f>
        <v/>
      </c>
      <c r="E60" s="40">
        <f>IF(C60&gt;=TotalStations,"",INDEX($C$9:$C$38,MATCH(SUMPRODUCT(($A$9:$A$38&lt;&gt;"")*($F$9:$F$38&lt;=C60))+1,$G$9:$G$38,0)))</f>
        <v/>
      </c>
      <c r="F60" s="40">
        <f>IF(C60&gt;=TotalStations,0,IF(OR(B60="Dédié",$B$3="Plein temps (7h)"),MIN(FLOOR(420/E60,1),TotalStations-C60),MIN(VALUE($B$3),TotalStations-C60)))</f>
        <v/>
      </c>
      <c r="G60" s="38" t="n"/>
      <c r="H60" s="40">
        <f>IF(G60="","",G60-F60)</f>
        <v/>
      </c>
      <c r="I60" s="40">
        <f>SUM($H$48:H60)</f>
        <v/>
      </c>
      <c r="J60" s="40">
        <f>C60+F60</f>
        <v/>
      </c>
    </row>
    <row r="61" hidden="1" outlineLevel="1" ht="15" customHeight="1" s="18">
      <c r="A61" s="44" t="n">
        <v>46282</v>
      </c>
      <c r="B61" s="45" t="inlineStr">
        <is>
          <t>Normal</t>
        </is>
      </c>
      <c r="C61" s="40">
        <f>C60+IF(G60="",F60,G60)</f>
        <v/>
      </c>
      <c r="D61" s="40">
        <f>IF(C61&gt;=TotalStations,"Terminé",INDEX($A$9:$A$38,MATCH(SUMPRODUCT(($A$9:$A$38&lt;&gt;"")*($F$9:$F$38&lt;=C61))+1,$G$9:$G$38,0)))</f>
        <v/>
      </c>
      <c r="E61" s="40">
        <f>IF(C61&gt;=TotalStations,"",INDEX($C$9:$C$38,MATCH(SUMPRODUCT(($A$9:$A$38&lt;&gt;"")*($F$9:$F$38&lt;=C61))+1,$G$9:$G$38,0)))</f>
        <v/>
      </c>
      <c r="F61" s="40">
        <f>IF(C61&gt;=TotalStations,0,IF(OR(B61="Dédié",$B$3="Plein temps (7h)"),MIN(FLOOR(420/E61,1),TotalStations-C61),MIN(VALUE($B$3),TotalStations-C61)))</f>
        <v/>
      </c>
      <c r="G61" s="38" t="n"/>
      <c r="H61" s="40">
        <f>IF(G61="","",G61-F61)</f>
        <v/>
      </c>
      <c r="I61" s="40">
        <f>SUM($H$48:H61)</f>
        <v/>
      </c>
      <c r="J61" s="40">
        <f>C61+F61</f>
        <v/>
      </c>
    </row>
    <row r="62" hidden="1" outlineLevel="1" ht="15" customHeight="1" s="18">
      <c r="A62" s="44" t="n">
        <v>46283</v>
      </c>
      <c r="B62" s="45" t="inlineStr">
        <is>
          <t>Normal</t>
        </is>
      </c>
      <c r="C62" s="40">
        <f>C61+IF(G61="",F61,G61)</f>
        <v/>
      </c>
      <c r="D62" s="40">
        <f>IF(C62&gt;=TotalStations,"Terminé",INDEX($A$9:$A$38,MATCH(SUMPRODUCT(($A$9:$A$38&lt;&gt;"")*($F$9:$F$38&lt;=C62))+1,$G$9:$G$38,0)))</f>
        <v/>
      </c>
      <c r="E62" s="40">
        <f>IF(C62&gt;=TotalStations,"",INDEX($C$9:$C$38,MATCH(SUMPRODUCT(($A$9:$A$38&lt;&gt;"")*($F$9:$F$38&lt;=C62))+1,$G$9:$G$38,0)))</f>
        <v/>
      </c>
      <c r="F62" s="40">
        <f>IF(C62&gt;=TotalStations,0,IF(OR(B62="Dédié",$B$3="Plein temps (7h)"),MIN(FLOOR(420/E62,1),TotalStations-C62),MIN(VALUE($B$3),TotalStations-C62)))</f>
        <v/>
      </c>
      <c r="G62" s="38" t="n"/>
      <c r="H62" s="40">
        <f>IF(G62="","",G62-F62)</f>
        <v/>
      </c>
      <c r="I62" s="40">
        <f>SUM($H$48:H62)</f>
        <v/>
      </c>
      <c r="J62" s="40">
        <f>C62+F62</f>
        <v/>
      </c>
    </row>
    <row r="63" hidden="1" outlineLevel="1" ht="15" customHeight="1" s="18">
      <c r="A63" s="44" t="n">
        <v>46286</v>
      </c>
      <c r="B63" s="45" t="inlineStr">
        <is>
          <t>Normal</t>
        </is>
      </c>
      <c r="C63" s="40">
        <f>C62+IF(G62="",F62,G62)</f>
        <v/>
      </c>
      <c r="D63" s="40">
        <f>IF(C63&gt;=TotalStations,"Terminé",INDEX($A$9:$A$38,MATCH(SUMPRODUCT(($A$9:$A$38&lt;&gt;"")*($F$9:$F$38&lt;=C63))+1,$G$9:$G$38,0)))</f>
        <v/>
      </c>
      <c r="E63" s="40">
        <f>IF(C63&gt;=TotalStations,"",INDEX($C$9:$C$38,MATCH(SUMPRODUCT(($A$9:$A$38&lt;&gt;"")*($F$9:$F$38&lt;=C63))+1,$G$9:$G$38,0)))</f>
        <v/>
      </c>
      <c r="F63" s="40">
        <f>IF(C63&gt;=TotalStations,0,IF(OR(B63="Dédié",$B$3="Plein temps (7h)"),MIN(FLOOR(420/E63,1),TotalStations-C63),MIN(VALUE($B$3),TotalStations-C63)))</f>
        <v/>
      </c>
      <c r="G63" s="38" t="n"/>
      <c r="H63" s="40">
        <f>IF(G63="","",G63-F63)</f>
        <v/>
      </c>
      <c r="I63" s="40">
        <f>SUM($H$48:H63)</f>
        <v/>
      </c>
      <c r="J63" s="40">
        <f>C63+F63</f>
        <v/>
      </c>
    </row>
    <row r="64" hidden="1" outlineLevel="1" ht="15" customHeight="1" s="18">
      <c r="A64" s="44" t="n">
        <v>46287</v>
      </c>
      <c r="B64" s="45" t="inlineStr">
        <is>
          <t>Normal</t>
        </is>
      </c>
      <c r="C64" s="40">
        <f>C63+IF(G63="",F63,G63)</f>
        <v/>
      </c>
      <c r="D64" s="40">
        <f>IF(C64&gt;=TotalStations,"Terminé",INDEX($A$9:$A$38,MATCH(SUMPRODUCT(($A$9:$A$38&lt;&gt;"")*($F$9:$F$38&lt;=C64))+1,$G$9:$G$38,0)))</f>
        <v/>
      </c>
      <c r="E64" s="40">
        <f>IF(C64&gt;=TotalStations,"",INDEX($C$9:$C$38,MATCH(SUMPRODUCT(($A$9:$A$38&lt;&gt;"")*($F$9:$F$38&lt;=C64))+1,$G$9:$G$38,0)))</f>
        <v/>
      </c>
      <c r="F64" s="40">
        <f>IF(C64&gt;=TotalStations,0,IF(OR(B64="Dédié",$B$3="Plein temps (7h)"),MIN(FLOOR(420/E64,1),TotalStations-C64),MIN(VALUE($B$3),TotalStations-C64)))</f>
        <v/>
      </c>
      <c r="G64" s="38" t="n"/>
      <c r="H64" s="40">
        <f>IF(G64="","",G64-F64)</f>
        <v/>
      </c>
      <c r="I64" s="40">
        <f>SUM($H$48:H64)</f>
        <v/>
      </c>
      <c r="J64" s="40">
        <f>C64+F64</f>
        <v/>
      </c>
    </row>
    <row r="65" hidden="1" outlineLevel="1" ht="15" customHeight="1" s="18">
      <c r="A65" s="44" t="n">
        <v>46288</v>
      </c>
      <c r="B65" s="45" t="inlineStr">
        <is>
          <t>Normal</t>
        </is>
      </c>
      <c r="C65" s="40">
        <f>C64+IF(G64="",F64,G64)</f>
        <v/>
      </c>
      <c r="D65" s="40">
        <f>IF(C65&gt;=TotalStations,"Terminé",INDEX($A$9:$A$38,MATCH(SUMPRODUCT(($A$9:$A$38&lt;&gt;"")*($F$9:$F$38&lt;=C65))+1,$G$9:$G$38,0)))</f>
        <v/>
      </c>
      <c r="E65" s="40">
        <f>IF(C65&gt;=TotalStations,"",INDEX($C$9:$C$38,MATCH(SUMPRODUCT(($A$9:$A$38&lt;&gt;"")*($F$9:$F$38&lt;=C65))+1,$G$9:$G$38,0)))</f>
        <v/>
      </c>
      <c r="F65" s="40">
        <f>IF(C65&gt;=TotalStations,0,IF(OR(B65="Dédié",$B$3="Plein temps (7h)"),MIN(FLOOR(420/E65,1),TotalStations-C65),MIN(VALUE($B$3),TotalStations-C65)))</f>
        <v/>
      </c>
      <c r="G65" s="38" t="n"/>
      <c r="H65" s="40">
        <f>IF(G65="","",G65-F65)</f>
        <v/>
      </c>
      <c r="I65" s="40">
        <f>SUM($H$48:H65)</f>
        <v/>
      </c>
      <c r="J65" s="40">
        <f>C65+F65</f>
        <v/>
      </c>
    </row>
    <row r="66" hidden="1" outlineLevel="1" ht="15" customHeight="1" s="18">
      <c r="A66" s="44" t="n">
        <v>46289</v>
      </c>
      <c r="B66" s="45" t="inlineStr">
        <is>
          <t>Normal</t>
        </is>
      </c>
      <c r="C66" s="40">
        <f>C65+IF(G65="",F65,G65)</f>
        <v/>
      </c>
      <c r="D66" s="40">
        <f>IF(C66&gt;=TotalStations,"Terminé",INDEX($A$9:$A$38,MATCH(SUMPRODUCT(($A$9:$A$38&lt;&gt;"")*($F$9:$F$38&lt;=C66))+1,$G$9:$G$38,0)))</f>
        <v/>
      </c>
      <c r="E66" s="40">
        <f>IF(C66&gt;=TotalStations,"",INDEX($C$9:$C$38,MATCH(SUMPRODUCT(($A$9:$A$38&lt;&gt;"")*($F$9:$F$38&lt;=C66))+1,$G$9:$G$38,0)))</f>
        <v/>
      </c>
      <c r="F66" s="40">
        <f>IF(C66&gt;=TotalStations,0,IF(OR(B66="Dédié",$B$3="Plein temps (7h)"),MIN(FLOOR(420/E66,1),TotalStations-C66),MIN(VALUE($B$3),TotalStations-C66)))</f>
        <v/>
      </c>
      <c r="G66" s="38" t="n"/>
      <c r="H66" s="40">
        <f>IF(G66="","",G66-F66)</f>
        <v/>
      </c>
      <c r="I66" s="40">
        <f>SUM($H$48:H66)</f>
        <v/>
      </c>
      <c r="J66" s="40">
        <f>C66+F66</f>
        <v/>
      </c>
    </row>
    <row r="67" hidden="1" outlineLevel="1" ht="15" customHeight="1" s="18">
      <c r="A67" s="44" t="n">
        <v>46290</v>
      </c>
      <c r="B67" s="45" t="inlineStr">
        <is>
          <t>Normal</t>
        </is>
      </c>
      <c r="C67" s="40">
        <f>C66+IF(G66="",F66,G66)</f>
        <v/>
      </c>
      <c r="D67" s="40">
        <f>IF(C67&gt;=TotalStations,"Terminé",INDEX($A$9:$A$38,MATCH(SUMPRODUCT(($A$9:$A$38&lt;&gt;"")*($F$9:$F$38&lt;=C67))+1,$G$9:$G$38,0)))</f>
        <v/>
      </c>
      <c r="E67" s="40">
        <f>IF(C67&gt;=TotalStations,"",INDEX($C$9:$C$38,MATCH(SUMPRODUCT(($A$9:$A$38&lt;&gt;"")*($F$9:$F$38&lt;=C67))+1,$G$9:$G$38,0)))</f>
        <v/>
      </c>
      <c r="F67" s="40">
        <f>IF(C67&gt;=TotalStations,0,IF(OR(B67="Dédié",$B$3="Plein temps (7h)"),MIN(FLOOR(420/E67,1),TotalStations-C67),MIN(VALUE($B$3),TotalStations-C67)))</f>
        <v/>
      </c>
      <c r="G67" s="38" t="n"/>
      <c r="H67" s="40">
        <f>IF(G67="","",G67-F67)</f>
        <v/>
      </c>
      <c r="I67" s="40">
        <f>SUM($H$48:H67)</f>
        <v/>
      </c>
      <c r="J67" s="40">
        <f>C67+F67</f>
        <v/>
      </c>
    </row>
    <row r="68" hidden="1" outlineLevel="1" ht="15" customHeight="1" s="18">
      <c r="A68" s="44" t="n">
        <v>46293</v>
      </c>
      <c r="B68" s="45" t="inlineStr">
        <is>
          <t>Normal</t>
        </is>
      </c>
      <c r="C68" s="40">
        <f>C67+IF(G67="",F67,G67)</f>
        <v/>
      </c>
      <c r="D68" s="40">
        <f>IF(C68&gt;=TotalStations,"Terminé",INDEX($A$9:$A$38,MATCH(SUMPRODUCT(($A$9:$A$38&lt;&gt;"")*($F$9:$F$38&lt;=C68))+1,$G$9:$G$38,0)))</f>
        <v/>
      </c>
      <c r="E68" s="40">
        <f>IF(C68&gt;=TotalStations,"",INDEX($C$9:$C$38,MATCH(SUMPRODUCT(($A$9:$A$38&lt;&gt;"")*($F$9:$F$38&lt;=C68))+1,$G$9:$G$38,0)))</f>
        <v/>
      </c>
      <c r="F68" s="40">
        <f>IF(C68&gt;=TotalStations,0,IF(OR(B68="Dédié",$B$3="Plein temps (7h)"),MIN(FLOOR(420/E68,1),TotalStations-C68),MIN(VALUE($B$3),TotalStations-C68)))</f>
        <v/>
      </c>
      <c r="G68" s="38" t="n"/>
      <c r="H68" s="40">
        <f>IF(G68="","",G68-F68)</f>
        <v/>
      </c>
      <c r="I68" s="40">
        <f>SUM($H$48:H68)</f>
        <v/>
      </c>
      <c r="J68" s="40">
        <f>C68+F68</f>
        <v/>
      </c>
    </row>
    <row r="69" hidden="1" outlineLevel="1" ht="15" customHeight="1" s="18">
      <c r="A69" s="44" t="n">
        <v>46294</v>
      </c>
      <c r="B69" s="45" t="inlineStr">
        <is>
          <t>Normal</t>
        </is>
      </c>
      <c r="C69" s="40">
        <f>C68+IF(G68="",F68,G68)</f>
        <v/>
      </c>
      <c r="D69" s="40">
        <f>IF(C69&gt;=TotalStations,"Terminé",INDEX($A$9:$A$38,MATCH(SUMPRODUCT(($A$9:$A$38&lt;&gt;"")*($F$9:$F$38&lt;=C69))+1,$G$9:$G$38,0)))</f>
        <v/>
      </c>
      <c r="E69" s="40">
        <f>IF(C69&gt;=TotalStations,"",INDEX($C$9:$C$38,MATCH(SUMPRODUCT(($A$9:$A$38&lt;&gt;"")*($F$9:$F$38&lt;=C69))+1,$G$9:$G$38,0)))</f>
        <v/>
      </c>
      <c r="F69" s="40">
        <f>IF(C69&gt;=TotalStations,0,IF(OR(B69="Dédié",$B$3="Plein temps (7h)"),MIN(FLOOR(420/E69,1),TotalStations-C69),MIN(VALUE($B$3),TotalStations-C69)))</f>
        <v/>
      </c>
      <c r="G69" s="38" t="n"/>
      <c r="H69" s="40">
        <f>IF(G69="","",G69-F69)</f>
        <v/>
      </c>
      <c r="I69" s="40">
        <f>SUM($H$48:H69)</f>
        <v/>
      </c>
      <c r="J69" s="40">
        <f>C69+F69</f>
        <v/>
      </c>
    </row>
    <row r="70" hidden="1" outlineLevel="1" ht="15" customHeight="1" s="18">
      <c r="A70" s="44" t="n">
        <v>46295</v>
      </c>
      <c r="B70" s="45" t="inlineStr">
        <is>
          <t>Normal</t>
        </is>
      </c>
      <c r="C70" s="40">
        <f>C69+IF(G69="",F69,G69)</f>
        <v/>
      </c>
      <c r="D70" s="40">
        <f>IF(C70&gt;=TotalStations,"Terminé",INDEX($A$9:$A$38,MATCH(SUMPRODUCT(($A$9:$A$38&lt;&gt;"")*($F$9:$F$38&lt;=C70))+1,$G$9:$G$38,0)))</f>
        <v/>
      </c>
      <c r="E70" s="40">
        <f>IF(C70&gt;=TotalStations,"",INDEX($C$9:$C$38,MATCH(SUMPRODUCT(($A$9:$A$38&lt;&gt;"")*($F$9:$F$38&lt;=C70))+1,$G$9:$G$38,0)))</f>
        <v/>
      </c>
      <c r="F70" s="40">
        <f>IF(C70&gt;=TotalStations,0,IF(OR(B70="Dédié",$B$3="Plein temps (7h)"),MIN(FLOOR(420/E70,1),TotalStations-C70),MIN(VALUE($B$3),TotalStations-C70)))</f>
        <v/>
      </c>
      <c r="G70" s="38" t="n"/>
      <c r="H70" s="40">
        <f>IF(G70="","",G70-F70)</f>
        <v/>
      </c>
      <c r="I70" s="40">
        <f>SUM($H$48:H70)</f>
        <v/>
      </c>
      <c r="J70" s="40">
        <f>C70+F70</f>
        <v/>
      </c>
    </row>
    <row r="71" hidden="1" outlineLevel="1" ht="15" customHeight="1" s="18">
      <c r="A71" s="44" t="n">
        <v>46296</v>
      </c>
      <c r="B71" s="45" t="inlineStr">
        <is>
          <t>Normal</t>
        </is>
      </c>
      <c r="C71" s="40">
        <f>C70+IF(G70="",F70,G70)</f>
        <v/>
      </c>
      <c r="D71" s="40">
        <f>IF(C71&gt;=TotalStations,"Terminé",INDEX($A$9:$A$38,MATCH(SUMPRODUCT(($A$9:$A$38&lt;&gt;"")*($F$9:$F$38&lt;=C71))+1,$G$9:$G$38,0)))</f>
        <v/>
      </c>
      <c r="E71" s="40">
        <f>IF(C71&gt;=TotalStations,"",INDEX($C$9:$C$38,MATCH(SUMPRODUCT(($A$9:$A$38&lt;&gt;"")*($F$9:$F$38&lt;=C71))+1,$G$9:$G$38,0)))</f>
        <v/>
      </c>
      <c r="F71" s="40">
        <f>IF(C71&gt;=TotalStations,0,IF(OR(B71="Dédié",$B$3="Plein temps (7h)"),MIN(FLOOR(420/E71,1),TotalStations-C71),MIN(VALUE($B$3),TotalStations-C71)))</f>
        <v/>
      </c>
      <c r="G71" s="38" t="n"/>
      <c r="H71" s="40">
        <f>IF(G71="","",G71-F71)</f>
        <v/>
      </c>
      <c r="I71" s="40">
        <f>SUM($H$48:H71)</f>
        <v/>
      </c>
      <c r="J71" s="40">
        <f>C71+F71</f>
        <v/>
      </c>
    </row>
    <row r="72" hidden="1" outlineLevel="1" ht="15" customHeight="1" s="18">
      <c r="A72" s="44" t="n">
        <v>46297</v>
      </c>
      <c r="B72" s="45" t="inlineStr">
        <is>
          <t>Normal</t>
        </is>
      </c>
      <c r="C72" s="40">
        <f>C71+IF(G71="",F71,G71)</f>
        <v/>
      </c>
      <c r="D72" s="40">
        <f>IF(C72&gt;=TotalStations,"Terminé",INDEX($A$9:$A$38,MATCH(SUMPRODUCT(($A$9:$A$38&lt;&gt;"")*($F$9:$F$38&lt;=C72))+1,$G$9:$G$38,0)))</f>
        <v/>
      </c>
      <c r="E72" s="40">
        <f>IF(C72&gt;=TotalStations,"",INDEX($C$9:$C$38,MATCH(SUMPRODUCT(($A$9:$A$38&lt;&gt;"")*($F$9:$F$38&lt;=C72))+1,$G$9:$G$38,0)))</f>
        <v/>
      </c>
      <c r="F72" s="40">
        <f>IF(C72&gt;=TotalStations,0,IF(OR(B72="Dédié",$B$3="Plein temps (7h)"),MIN(FLOOR(420/E72,1),TotalStations-C72),MIN(VALUE($B$3),TotalStations-C72)))</f>
        <v/>
      </c>
      <c r="G72" s="38" t="n"/>
      <c r="H72" s="40">
        <f>IF(G72="","",G72-F72)</f>
        <v/>
      </c>
      <c r="I72" s="40">
        <f>SUM($H$48:H72)</f>
        <v/>
      </c>
      <c r="J72" s="40">
        <f>C72+F72</f>
        <v/>
      </c>
    </row>
    <row r="73" hidden="1" outlineLevel="1" ht="15" customHeight="1" s="18">
      <c r="A73" s="44" t="n">
        <v>46300</v>
      </c>
      <c r="B73" s="45" t="inlineStr">
        <is>
          <t>Normal</t>
        </is>
      </c>
      <c r="C73" s="40">
        <f>C72+IF(G72="",F72,G72)</f>
        <v/>
      </c>
      <c r="D73" s="40">
        <f>IF(C73&gt;=TotalStations,"Terminé",INDEX($A$9:$A$38,MATCH(SUMPRODUCT(($A$9:$A$38&lt;&gt;"")*($F$9:$F$38&lt;=C73))+1,$G$9:$G$38,0)))</f>
        <v/>
      </c>
      <c r="E73" s="40">
        <f>IF(C73&gt;=TotalStations,"",INDEX($C$9:$C$38,MATCH(SUMPRODUCT(($A$9:$A$38&lt;&gt;"")*($F$9:$F$38&lt;=C73))+1,$G$9:$G$38,0)))</f>
        <v/>
      </c>
      <c r="F73" s="40">
        <f>IF(C73&gt;=TotalStations,0,IF(OR(B73="Dédié",$B$3="Plein temps (7h)"),MIN(FLOOR(420/E73,1),TotalStations-C73),MIN(VALUE($B$3),TotalStations-C73)))</f>
        <v/>
      </c>
      <c r="G73" s="38" t="n"/>
      <c r="H73" s="40">
        <f>IF(G73="","",G73-F73)</f>
        <v/>
      </c>
      <c r="I73" s="40">
        <f>SUM($H$48:H73)</f>
        <v/>
      </c>
      <c r="J73" s="40">
        <f>C73+F73</f>
        <v/>
      </c>
    </row>
    <row r="74" hidden="1" outlineLevel="1" ht="15" customHeight="1" s="18">
      <c r="A74" s="44" t="n">
        <v>46301</v>
      </c>
      <c r="B74" s="45" t="inlineStr">
        <is>
          <t>Normal</t>
        </is>
      </c>
      <c r="C74" s="40">
        <f>C73+IF(G73="",F73,G73)</f>
        <v/>
      </c>
      <c r="D74" s="40">
        <f>IF(C74&gt;=TotalStations,"Terminé",INDEX($A$9:$A$38,MATCH(SUMPRODUCT(($A$9:$A$38&lt;&gt;"")*($F$9:$F$38&lt;=C74))+1,$G$9:$G$38,0)))</f>
        <v/>
      </c>
      <c r="E74" s="40">
        <f>IF(C74&gt;=TotalStations,"",INDEX($C$9:$C$38,MATCH(SUMPRODUCT(($A$9:$A$38&lt;&gt;"")*($F$9:$F$38&lt;=C74))+1,$G$9:$G$38,0)))</f>
        <v/>
      </c>
      <c r="F74" s="40">
        <f>IF(C74&gt;=TotalStations,0,IF(OR(B74="Dédié",$B$3="Plein temps (7h)"),MIN(FLOOR(420/E74,1),TotalStations-C74),MIN(VALUE($B$3),TotalStations-C74)))</f>
        <v/>
      </c>
      <c r="G74" s="38" t="n"/>
      <c r="H74" s="40">
        <f>IF(G74="","",G74-F74)</f>
        <v/>
      </c>
      <c r="I74" s="40">
        <f>SUM($H$48:H74)</f>
        <v/>
      </c>
      <c r="J74" s="40">
        <f>C74+F74</f>
        <v/>
      </c>
    </row>
    <row r="75" hidden="1" outlineLevel="1" ht="15" customHeight="1" s="18">
      <c r="A75" s="44" t="n">
        <v>46302</v>
      </c>
      <c r="B75" s="45" t="inlineStr">
        <is>
          <t>Normal</t>
        </is>
      </c>
      <c r="C75" s="40">
        <f>C74+IF(G74="",F74,G74)</f>
        <v/>
      </c>
      <c r="D75" s="40">
        <f>IF(C75&gt;=TotalStations,"Terminé",INDEX($A$9:$A$38,MATCH(SUMPRODUCT(($A$9:$A$38&lt;&gt;"")*($F$9:$F$38&lt;=C75))+1,$G$9:$G$38,0)))</f>
        <v/>
      </c>
      <c r="E75" s="40">
        <f>IF(C75&gt;=TotalStations,"",INDEX($C$9:$C$38,MATCH(SUMPRODUCT(($A$9:$A$38&lt;&gt;"")*($F$9:$F$38&lt;=C75))+1,$G$9:$G$38,0)))</f>
        <v/>
      </c>
      <c r="F75" s="40">
        <f>IF(C75&gt;=TotalStations,0,IF(OR(B75="Dédié",$B$3="Plein temps (7h)"),MIN(FLOOR(420/E75,1),TotalStations-C75),MIN(VALUE($B$3),TotalStations-C75)))</f>
        <v/>
      </c>
      <c r="G75" s="38" t="n"/>
      <c r="H75" s="40">
        <f>IF(G75="","",G75-F75)</f>
        <v/>
      </c>
      <c r="I75" s="40">
        <f>SUM($H$48:H75)</f>
        <v/>
      </c>
      <c r="J75" s="40">
        <f>C75+F75</f>
        <v/>
      </c>
    </row>
    <row r="76" hidden="1" outlineLevel="1" ht="15" customHeight="1" s="18">
      <c r="A76" s="44" t="n">
        <v>46303</v>
      </c>
      <c r="B76" s="45" t="inlineStr">
        <is>
          <t>Normal</t>
        </is>
      </c>
      <c r="C76" s="40">
        <f>C75+IF(G75="",F75,G75)</f>
        <v/>
      </c>
      <c r="D76" s="40">
        <f>IF(C76&gt;=TotalStations,"Terminé",INDEX($A$9:$A$38,MATCH(SUMPRODUCT(($A$9:$A$38&lt;&gt;"")*($F$9:$F$38&lt;=C76))+1,$G$9:$G$38,0)))</f>
        <v/>
      </c>
      <c r="E76" s="40">
        <f>IF(C76&gt;=TotalStations,"",INDEX($C$9:$C$38,MATCH(SUMPRODUCT(($A$9:$A$38&lt;&gt;"")*($F$9:$F$38&lt;=C76))+1,$G$9:$G$38,0)))</f>
        <v/>
      </c>
      <c r="F76" s="40">
        <f>IF(C76&gt;=TotalStations,0,IF(OR(B76="Dédié",$B$3="Plein temps (7h)"),MIN(FLOOR(420/E76,1),TotalStations-C76),MIN(VALUE($B$3),TotalStations-C76)))</f>
        <v/>
      </c>
      <c r="G76" s="38" t="n"/>
      <c r="H76" s="40">
        <f>IF(G76="","",G76-F76)</f>
        <v/>
      </c>
      <c r="I76" s="40">
        <f>SUM($H$48:H76)</f>
        <v/>
      </c>
      <c r="J76" s="40">
        <f>C76+F76</f>
        <v/>
      </c>
    </row>
    <row r="77" hidden="1" outlineLevel="1" ht="15" customHeight="1" s="18">
      <c r="A77" s="44" t="n">
        <v>46304</v>
      </c>
      <c r="B77" s="45" t="inlineStr">
        <is>
          <t>Normal</t>
        </is>
      </c>
      <c r="C77" s="40">
        <f>C76+IF(G76="",F76,G76)</f>
        <v/>
      </c>
      <c r="D77" s="40">
        <f>IF(C77&gt;=TotalStations,"Terminé",INDEX($A$9:$A$38,MATCH(SUMPRODUCT(($A$9:$A$38&lt;&gt;"")*($F$9:$F$38&lt;=C77))+1,$G$9:$G$38,0)))</f>
        <v/>
      </c>
      <c r="E77" s="40">
        <f>IF(C77&gt;=TotalStations,"",INDEX($C$9:$C$38,MATCH(SUMPRODUCT(($A$9:$A$38&lt;&gt;"")*($F$9:$F$38&lt;=C77))+1,$G$9:$G$38,0)))</f>
        <v/>
      </c>
      <c r="F77" s="40">
        <f>IF(C77&gt;=TotalStations,0,IF(OR(B77="Dédié",$B$3="Plein temps (7h)"),MIN(FLOOR(420/E77,1),TotalStations-C77),MIN(VALUE($B$3),TotalStations-C77)))</f>
        <v/>
      </c>
      <c r="G77" s="38" t="n"/>
      <c r="H77" s="40">
        <f>IF(G77="","",G77-F77)</f>
        <v/>
      </c>
      <c r="I77" s="40">
        <f>SUM($H$48:H77)</f>
        <v/>
      </c>
      <c r="J77" s="40">
        <f>C77+F77</f>
        <v/>
      </c>
    </row>
    <row r="78" hidden="1" outlineLevel="1" ht="15" customHeight="1" s="18">
      <c r="A78" s="44" t="n">
        <v>46307</v>
      </c>
      <c r="B78" s="45" t="inlineStr">
        <is>
          <t>Normal</t>
        </is>
      </c>
      <c r="C78" s="40">
        <f>C77+IF(G77="",F77,G77)</f>
        <v/>
      </c>
      <c r="D78" s="40">
        <f>IF(C78&gt;=TotalStations,"Terminé",INDEX($A$9:$A$38,MATCH(SUMPRODUCT(($A$9:$A$38&lt;&gt;"")*($F$9:$F$38&lt;=C78))+1,$G$9:$G$38,0)))</f>
        <v/>
      </c>
      <c r="E78" s="40">
        <f>IF(C78&gt;=TotalStations,"",INDEX($C$9:$C$38,MATCH(SUMPRODUCT(($A$9:$A$38&lt;&gt;"")*($F$9:$F$38&lt;=C78))+1,$G$9:$G$38,0)))</f>
        <v/>
      </c>
      <c r="F78" s="40">
        <f>IF(C78&gt;=TotalStations,0,IF(OR(B78="Dédié",$B$3="Plein temps (7h)"),MIN(FLOOR(420/E78,1),TotalStations-C78),MIN(VALUE($B$3),TotalStations-C78)))</f>
        <v/>
      </c>
      <c r="G78" s="38" t="n"/>
      <c r="H78" s="40">
        <f>IF(G78="","",G78-F78)</f>
        <v/>
      </c>
      <c r="I78" s="40">
        <f>SUM($H$48:H78)</f>
        <v/>
      </c>
      <c r="J78" s="40">
        <f>C78+F78</f>
        <v/>
      </c>
    </row>
    <row r="79" hidden="1" outlineLevel="1" ht="15" customHeight="1" s="18">
      <c r="A79" s="44" t="n">
        <v>46308</v>
      </c>
      <c r="B79" s="45" t="inlineStr">
        <is>
          <t>Normal</t>
        </is>
      </c>
      <c r="C79" s="40">
        <f>C78+IF(G78="",F78,G78)</f>
        <v/>
      </c>
      <c r="D79" s="40">
        <f>IF(C79&gt;=TotalStations,"Terminé",INDEX($A$9:$A$38,MATCH(SUMPRODUCT(($A$9:$A$38&lt;&gt;"")*($F$9:$F$38&lt;=C79))+1,$G$9:$G$38,0)))</f>
        <v/>
      </c>
      <c r="E79" s="40">
        <f>IF(C79&gt;=TotalStations,"",INDEX($C$9:$C$38,MATCH(SUMPRODUCT(($A$9:$A$38&lt;&gt;"")*($F$9:$F$38&lt;=C79))+1,$G$9:$G$38,0)))</f>
        <v/>
      </c>
      <c r="F79" s="40">
        <f>IF(C79&gt;=TotalStations,0,IF(OR(B79="Dédié",$B$3="Plein temps (7h)"),MIN(FLOOR(420/E79,1),TotalStations-C79),MIN(VALUE($B$3),TotalStations-C79)))</f>
        <v/>
      </c>
      <c r="G79" s="38" t="n"/>
      <c r="H79" s="40">
        <f>IF(G79="","",G79-F79)</f>
        <v/>
      </c>
      <c r="I79" s="40">
        <f>SUM($H$48:H79)</f>
        <v/>
      </c>
      <c r="J79" s="40">
        <f>C79+F79</f>
        <v/>
      </c>
    </row>
    <row r="80" hidden="1" outlineLevel="1" ht="15" customHeight="1" s="18">
      <c r="A80" s="44" t="n">
        <v>46309</v>
      </c>
      <c r="B80" s="45" t="inlineStr">
        <is>
          <t>Normal</t>
        </is>
      </c>
      <c r="C80" s="40">
        <f>C79+IF(G79="",F79,G79)</f>
        <v/>
      </c>
      <c r="D80" s="40">
        <f>IF(C80&gt;=TotalStations,"Terminé",INDEX($A$9:$A$38,MATCH(SUMPRODUCT(($A$9:$A$38&lt;&gt;"")*($F$9:$F$38&lt;=C80))+1,$G$9:$G$38,0)))</f>
        <v/>
      </c>
      <c r="E80" s="40">
        <f>IF(C80&gt;=TotalStations,"",INDEX($C$9:$C$38,MATCH(SUMPRODUCT(($A$9:$A$38&lt;&gt;"")*($F$9:$F$38&lt;=C80))+1,$G$9:$G$38,0)))</f>
        <v/>
      </c>
      <c r="F80" s="40">
        <f>IF(C80&gt;=TotalStations,0,IF(OR(B80="Dédié",$B$3="Plein temps (7h)"),MIN(FLOOR(420/E80,1),TotalStations-C80),MIN(VALUE($B$3),TotalStations-C80)))</f>
        <v/>
      </c>
      <c r="G80" s="38" t="n"/>
      <c r="H80" s="40">
        <f>IF(G80="","",G80-F80)</f>
        <v/>
      </c>
      <c r="I80" s="40">
        <f>SUM($H$48:H80)</f>
        <v/>
      </c>
      <c r="J80" s="40">
        <f>C80+F80</f>
        <v/>
      </c>
    </row>
    <row r="81" hidden="1" outlineLevel="1" ht="15" customHeight="1" s="18">
      <c r="A81" s="44" t="n">
        <v>46310</v>
      </c>
      <c r="B81" s="45" t="inlineStr">
        <is>
          <t>Normal</t>
        </is>
      </c>
      <c r="C81" s="40">
        <f>C80+IF(G80="",F80,G80)</f>
        <v/>
      </c>
      <c r="D81" s="40">
        <f>IF(C81&gt;=TotalStations,"Terminé",INDEX($A$9:$A$38,MATCH(SUMPRODUCT(($A$9:$A$38&lt;&gt;"")*($F$9:$F$38&lt;=C81))+1,$G$9:$G$38,0)))</f>
        <v/>
      </c>
      <c r="E81" s="40">
        <f>IF(C81&gt;=TotalStations,"",INDEX($C$9:$C$38,MATCH(SUMPRODUCT(($A$9:$A$38&lt;&gt;"")*($F$9:$F$38&lt;=C81))+1,$G$9:$G$38,0)))</f>
        <v/>
      </c>
      <c r="F81" s="40">
        <f>IF(C81&gt;=TotalStations,0,IF(OR(B81="Dédié",$B$3="Plein temps (7h)"),MIN(FLOOR(420/E81,1),TotalStations-C81),MIN(VALUE($B$3),TotalStations-C81)))</f>
        <v/>
      </c>
      <c r="G81" s="38" t="n"/>
      <c r="H81" s="40">
        <f>IF(G81="","",G81-F81)</f>
        <v/>
      </c>
      <c r="I81" s="40">
        <f>SUM($H$48:H81)</f>
        <v/>
      </c>
      <c r="J81" s="40">
        <f>C81+F81</f>
        <v/>
      </c>
    </row>
    <row r="82" hidden="1" outlineLevel="1" ht="15" customHeight="1" s="18">
      <c r="A82" s="44" t="n">
        <v>46311</v>
      </c>
      <c r="B82" s="45" t="inlineStr">
        <is>
          <t>Normal</t>
        </is>
      </c>
      <c r="C82" s="40">
        <f>C81+IF(G81="",F81,G81)</f>
        <v/>
      </c>
      <c r="D82" s="40">
        <f>IF(C82&gt;=TotalStations,"Terminé",INDEX($A$9:$A$38,MATCH(SUMPRODUCT(($A$9:$A$38&lt;&gt;"")*($F$9:$F$38&lt;=C82))+1,$G$9:$G$38,0)))</f>
        <v/>
      </c>
      <c r="E82" s="40">
        <f>IF(C82&gt;=TotalStations,"",INDEX($C$9:$C$38,MATCH(SUMPRODUCT(($A$9:$A$38&lt;&gt;"")*($F$9:$F$38&lt;=C82))+1,$G$9:$G$38,0)))</f>
        <v/>
      </c>
      <c r="F82" s="40">
        <f>IF(C82&gt;=TotalStations,0,IF(OR(B82="Dédié",$B$3="Plein temps (7h)"),MIN(FLOOR(420/E82,1),TotalStations-C82),MIN(VALUE($B$3),TotalStations-C82)))</f>
        <v/>
      </c>
      <c r="G82" s="38" t="n"/>
      <c r="H82" s="40">
        <f>IF(G82="","",G82-F82)</f>
        <v/>
      </c>
      <c r="I82" s="40">
        <f>SUM($H$48:H82)</f>
        <v/>
      </c>
      <c r="J82" s="40">
        <f>C82+F82</f>
        <v/>
      </c>
    </row>
    <row r="83" hidden="1" outlineLevel="1" ht="15" customHeight="1" s="18">
      <c r="A83" s="44" t="n">
        <v>46314</v>
      </c>
      <c r="B83" s="45" t="inlineStr">
        <is>
          <t>Normal</t>
        </is>
      </c>
      <c r="C83" s="40">
        <f>C82+IF(G82="",F82,G82)</f>
        <v/>
      </c>
      <c r="D83" s="40">
        <f>IF(C83&gt;=TotalStations,"Terminé",INDEX($A$9:$A$38,MATCH(SUMPRODUCT(($A$9:$A$38&lt;&gt;"")*($F$9:$F$38&lt;=C83))+1,$G$9:$G$38,0)))</f>
        <v/>
      </c>
      <c r="E83" s="40">
        <f>IF(C83&gt;=TotalStations,"",INDEX($C$9:$C$38,MATCH(SUMPRODUCT(($A$9:$A$38&lt;&gt;"")*($F$9:$F$38&lt;=C83))+1,$G$9:$G$38,0)))</f>
        <v/>
      </c>
      <c r="F83" s="40">
        <f>IF(C83&gt;=TotalStations,0,IF(OR(B83="Dédié",$B$3="Plein temps (7h)"),MIN(FLOOR(420/E83,1),TotalStations-C83),MIN(VALUE($B$3),TotalStations-C83)))</f>
        <v/>
      </c>
      <c r="G83" s="38" t="n"/>
      <c r="H83" s="40">
        <f>IF(G83="","",G83-F83)</f>
        <v/>
      </c>
      <c r="I83" s="40">
        <f>SUM($H$48:H83)</f>
        <v/>
      </c>
      <c r="J83" s="40">
        <f>C83+F83</f>
        <v/>
      </c>
    </row>
    <row r="84" hidden="1" outlineLevel="1" ht="15" customHeight="1" s="18">
      <c r="A84" s="44" t="n">
        <v>46315</v>
      </c>
      <c r="B84" s="45" t="inlineStr">
        <is>
          <t>Normal</t>
        </is>
      </c>
      <c r="C84" s="40">
        <f>C83+IF(G83="",F83,G83)</f>
        <v/>
      </c>
      <c r="D84" s="40">
        <f>IF(C84&gt;=TotalStations,"Terminé",INDEX($A$9:$A$38,MATCH(SUMPRODUCT(($A$9:$A$38&lt;&gt;"")*($F$9:$F$38&lt;=C84))+1,$G$9:$G$38,0)))</f>
        <v/>
      </c>
      <c r="E84" s="40">
        <f>IF(C84&gt;=TotalStations,"",INDEX($C$9:$C$38,MATCH(SUMPRODUCT(($A$9:$A$38&lt;&gt;"")*($F$9:$F$38&lt;=C84))+1,$G$9:$G$38,0)))</f>
        <v/>
      </c>
      <c r="F84" s="40">
        <f>IF(C84&gt;=TotalStations,0,IF(OR(B84="Dédié",$B$3="Plein temps (7h)"),MIN(FLOOR(420/E84,1),TotalStations-C84),MIN(VALUE($B$3),TotalStations-C84)))</f>
        <v/>
      </c>
      <c r="G84" s="38" t="n"/>
      <c r="H84" s="40">
        <f>IF(G84="","",G84-F84)</f>
        <v/>
      </c>
      <c r="I84" s="40">
        <f>SUM($H$48:H84)</f>
        <v/>
      </c>
      <c r="J84" s="40">
        <f>C84+F84</f>
        <v/>
      </c>
    </row>
    <row r="85" hidden="1" outlineLevel="1" ht="15" customHeight="1" s="18">
      <c r="A85" s="44" t="n">
        <v>46316</v>
      </c>
      <c r="B85" s="45" t="inlineStr">
        <is>
          <t>Normal</t>
        </is>
      </c>
      <c r="C85" s="40">
        <f>C84+IF(G84="",F84,G84)</f>
        <v/>
      </c>
      <c r="D85" s="40">
        <f>IF(C85&gt;=TotalStations,"Terminé",INDEX($A$9:$A$38,MATCH(SUMPRODUCT(($A$9:$A$38&lt;&gt;"")*($F$9:$F$38&lt;=C85))+1,$G$9:$G$38,0)))</f>
        <v/>
      </c>
      <c r="E85" s="40">
        <f>IF(C85&gt;=TotalStations,"",INDEX($C$9:$C$38,MATCH(SUMPRODUCT(($A$9:$A$38&lt;&gt;"")*($F$9:$F$38&lt;=C85))+1,$G$9:$G$38,0)))</f>
        <v/>
      </c>
      <c r="F85" s="40">
        <f>IF(C85&gt;=TotalStations,0,IF(OR(B85="Dédié",$B$3="Plein temps (7h)"),MIN(FLOOR(420/E85,1),TotalStations-C85),MIN(VALUE($B$3),TotalStations-C85)))</f>
        <v/>
      </c>
      <c r="G85" s="38" t="n"/>
      <c r="H85" s="40">
        <f>IF(G85="","",G85-F85)</f>
        <v/>
      </c>
      <c r="I85" s="40">
        <f>SUM($H$48:H85)</f>
        <v/>
      </c>
      <c r="J85" s="40">
        <f>C85+F85</f>
        <v/>
      </c>
    </row>
    <row r="86" hidden="1" outlineLevel="1" ht="15" customHeight="1" s="18">
      <c r="A86" s="44" t="n">
        <v>46317</v>
      </c>
      <c r="B86" s="45" t="inlineStr">
        <is>
          <t>Normal</t>
        </is>
      </c>
      <c r="C86" s="40">
        <f>C85+IF(G85="",F85,G85)</f>
        <v/>
      </c>
      <c r="D86" s="40">
        <f>IF(C86&gt;=TotalStations,"Terminé",INDEX($A$9:$A$38,MATCH(SUMPRODUCT(($A$9:$A$38&lt;&gt;"")*($F$9:$F$38&lt;=C86))+1,$G$9:$G$38,0)))</f>
        <v/>
      </c>
      <c r="E86" s="40">
        <f>IF(C86&gt;=TotalStations,"",INDEX($C$9:$C$38,MATCH(SUMPRODUCT(($A$9:$A$38&lt;&gt;"")*($F$9:$F$38&lt;=C86))+1,$G$9:$G$38,0)))</f>
        <v/>
      </c>
      <c r="F86" s="40">
        <f>IF(C86&gt;=TotalStations,0,IF(OR(B86="Dédié",$B$3="Plein temps (7h)"),MIN(FLOOR(420/E86,1),TotalStations-C86),MIN(VALUE($B$3),TotalStations-C86)))</f>
        <v/>
      </c>
      <c r="G86" s="38" t="n"/>
      <c r="H86" s="40">
        <f>IF(G86="","",G86-F86)</f>
        <v/>
      </c>
      <c r="I86" s="40">
        <f>SUM($H$48:H86)</f>
        <v/>
      </c>
      <c r="J86" s="40">
        <f>C86+F86</f>
        <v/>
      </c>
    </row>
    <row r="87" hidden="1" outlineLevel="1" ht="15" customHeight="1" s="18">
      <c r="A87" s="44" t="n">
        <v>46318</v>
      </c>
      <c r="B87" s="45" t="inlineStr">
        <is>
          <t>Normal</t>
        </is>
      </c>
      <c r="C87" s="40">
        <f>C86+IF(G86="",F86,G86)</f>
        <v/>
      </c>
      <c r="D87" s="40">
        <f>IF(C87&gt;=TotalStations,"Terminé",INDEX($A$9:$A$38,MATCH(SUMPRODUCT(($A$9:$A$38&lt;&gt;"")*($F$9:$F$38&lt;=C87))+1,$G$9:$G$38,0)))</f>
        <v/>
      </c>
      <c r="E87" s="40">
        <f>IF(C87&gt;=TotalStations,"",INDEX($C$9:$C$38,MATCH(SUMPRODUCT(($A$9:$A$38&lt;&gt;"")*($F$9:$F$38&lt;=C87))+1,$G$9:$G$38,0)))</f>
        <v/>
      </c>
      <c r="F87" s="40">
        <f>IF(C87&gt;=TotalStations,0,IF(OR(B87="Dédié",$B$3="Plein temps (7h)"),MIN(FLOOR(420/E87,1),TotalStations-C87),MIN(VALUE($B$3),TotalStations-C87)))</f>
        <v/>
      </c>
      <c r="G87" s="38" t="n"/>
      <c r="H87" s="40">
        <f>IF(G87="","",G87-F87)</f>
        <v/>
      </c>
      <c r="I87" s="40">
        <f>SUM($H$48:H87)</f>
        <v/>
      </c>
      <c r="J87" s="40">
        <f>C87+F87</f>
        <v/>
      </c>
    </row>
    <row r="88" hidden="1" outlineLevel="1" ht="15" customHeight="1" s="18">
      <c r="A88" s="44" t="n">
        <v>46321</v>
      </c>
      <c r="B88" s="45" t="inlineStr">
        <is>
          <t>Normal</t>
        </is>
      </c>
      <c r="C88" s="40">
        <f>C87+IF(G87="",F87,G87)</f>
        <v/>
      </c>
      <c r="D88" s="40">
        <f>IF(C88&gt;=TotalStations,"Terminé",INDEX($A$9:$A$38,MATCH(SUMPRODUCT(($A$9:$A$38&lt;&gt;"")*($F$9:$F$38&lt;=C88))+1,$G$9:$G$38,0)))</f>
        <v/>
      </c>
      <c r="E88" s="40">
        <f>IF(C88&gt;=TotalStations,"",INDEX($C$9:$C$38,MATCH(SUMPRODUCT(($A$9:$A$38&lt;&gt;"")*($F$9:$F$38&lt;=C88))+1,$G$9:$G$38,0)))</f>
        <v/>
      </c>
      <c r="F88" s="40">
        <f>IF(C88&gt;=TotalStations,0,IF(OR(B88="Dédié",$B$3="Plein temps (7h)"),MIN(FLOOR(420/E88,1),TotalStations-C88),MIN(VALUE($B$3),TotalStations-C88)))</f>
        <v/>
      </c>
      <c r="G88" s="38" t="n"/>
      <c r="H88" s="40">
        <f>IF(G88="","",G88-F88)</f>
        <v/>
      </c>
      <c r="I88" s="40">
        <f>SUM($H$48:H88)</f>
        <v/>
      </c>
      <c r="J88" s="40">
        <f>C88+F88</f>
        <v/>
      </c>
    </row>
    <row r="89" hidden="1" outlineLevel="1" ht="15" customHeight="1" s="18">
      <c r="A89" s="44" t="n">
        <v>46322</v>
      </c>
      <c r="B89" s="45" t="inlineStr">
        <is>
          <t>Normal</t>
        </is>
      </c>
      <c r="C89" s="40">
        <f>C88+IF(G88="",F88,G88)</f>
        <v/>
      </c>
      <c r="D89" s="40">
        <f>IF(C89&gt;=TotalStations,"Terminé",INDEX($A$9:$A$38,MATCH(SUMPRODUCT(($A$9:$A$38&lt;&gt;"")*($F$9:$F$38&lt;=C89))+1,$G$9:$G$38,0)))</f>
        <v/>
      </c>
      <c r="E89" s="40">
        <f>IF(C89&gt;=TotalStations,"",INDEX($C$9:$C$38,MATCH(SUMPRODUCT(($A$9:$A$38&lt;&gt;"")*($F$9:$F$38&lt;=C89))+1,$G$9:$G$38,0)))</f>
        <v/>
      </c>
      <c r="F89" s="40">
        <f>IF(C89&gt;=TotalStations,0,IF(OR(B89="Dédié",$B$3="Plein temps (7h)"),MIN(FLOOR(420/E89,1),TotalStations-C89),MIN(VALUE($B$3),TotalStations-C89)))</f>
        <v/>
      </c>
      <c r="G89" s="38" t="n"/>
      <c r="H89" s="40">
        <f>IF(G89="","",G89-F89)</f>
        <v/>
      </c>
      <c r="I89" s="40">
        <f>SUM($H$48:H89)</f>
        <v/>
      </c>
      <c r="J89" s="40">
        <f>C89+F89</f>
        <v/>
      </c>
    </row>
    <row r="90" hidden="1" outlineLevel="1" ht="15" customHeight="1" s="18">
      <c r="A90" s="44" t="n">
        <v>46323</v>
      </c>
      <c r="B90" s="45" t="inlineStr">
        <is>
          <t>Normal</t>
        </is>
      </c>
      <c r="C90" s="40">
        <f>C89+IF(G89="",F89,G89)</f>
        <v/>
      </c>
      <c r="D90" s="40">
        <f>IF(C90&gt;=TotalStations,"Terminé",INDEX($A$9:$A$38,MATCH(SUMPRODUCT(($A$9:$A$38&lt;&gt;"")*($F$9:$F$38&lt;=C90))+1,$G$9:$G$38,0)))</f>
        <v/>
      </c>
      <c r="E90" s="40">
        <f>IF(C90&gt;=TotalStations,"",INDEX($C$9:$C$38,MATCH(SUMPRODUCT(($A$9:$A$38&lt;&gt;"")*($F$9:$F$38&lt;=C90))+1,$G$9:$G$38,0)))</f>
        <v/>
      </c>
      <c r="F90" s="40">
        <f>IF(C90&gt;=TotalStations,0,IF(OR(B90="Dédié",$B$3="Plein temps (7h)"),MIN(FLOOR(420/E90,1),TotalStations-C90),MIN(VALUE($B$3),TotalStations-C90)))</f>
        <v/>
      </c>
      <c r="G90" s="38" t="n"/>
      <c r="H90" s="40">
        <f>IF(G90="","",G90-F90)</f>
        <v/>
      </c>
      <c r="I90" s="40">
        <f>SUM($H$48:H90)</f>
        <v/>
      </c>
      <c r="J90" s="40">
        <f>C90+F90</f>
        <v/>
      </c>
    </row>
    <row r="91" hidden="1" outlineLevel="1" ht="15" customHeight="1" s="18">
      <c r="A91" s="44" t="n">
        <v>46324</v>
      </c>
      <c r="B91" s="45" t="inlineStr">
        <is>
          <t>Normal</t>
        </is>
      </c>
      <c r="C91" s="40">
        <f>C90+IF(G90="",F90,G90)</f>
        <v/>
      </c>
      <c r="D91" s="40">
        <f>IF(C91&gt;=TotalStations,"Terminé",INDEX($A$9:$A$38,MATCH(SUMPRODUCT(($A$9:$A$38&lt;&gt;"")*($F$9:$F$38&lt;=C91))+1,$G$9:$G$38,0)))</f>
        <v/>
      </c>
      <c r="E91" s="40">
        <f>IF(C91&gt;=TotalStations,"",INDEX($C$9:$C$38,MATCH(SUMPRODUCT(($A$9:$A$38&lt;&gt;"")*($F$9:$F$38&lt;=C91))+1,$G$9:$G$38,0)))</f>
        <v/>
      </c>
      <c r="F91" s="40">
        <f>IF(C91&gt;=TotalStations,0,IF(OR(B91="Dédié",$B$3="Plein temps (7h)"),MIN(FLOOR(420/E91,1),TotalStations-C91),MIN(VALUE($B$3),TotalStations-C91)))</f>
        <v/>
      </c>
      <c r="G91" s="38" t="n"/>
      <c r="H91" s="40">
        <f>IF(G91="","",G91-F91)</f>
        <v/>
      </c>
      <c r="I91" s="40">
        <f>SUM($H$48:H91)</f>
        <v/>
      </c>
      <c r="J91" s="40">
        <f>C91+F91</f>
        <v/>
      </c>
    </row>
    <row r="92" hidden="1" outlineLevel="1" ht="15" customHeight="1" s="18">
      <c r="A92" s="44" t="n">
        <v>46325</v>
      </c>
      <c r="B92" s="45" t="inlineStr">
        <is>
          <t>Normal</t>
        </is>
      </c>
      <c r="C92" s="40">
        <f>C91+IF(G91="",F91,G91)</f>
        <v/>
      </c>
      <c r="D92" s="40">
        <f>IF(C92&gt;=TotalStations,"Terminé",INDEX($A$9:$A$38,MATCH(SUMPRODUCT(($A$9:$A$38&lt;&gt;"")*($F$9:$F$38&lt;=C92))+1,$G$9:$G$38,0)))</f>
        <v/>
      </c>
      <c r="E92" s="40">
        <f>IF(C92&gt;=TotalStations,"",INDEX($C$9:$C$38,MATCH(SUMPRODUCT(($A$9:$A$38&lt;&gt;"")*($F$9:$F$38&lt;=C92))+1,$G$9:$G$38,0)))</f>
        <v/>
      </c>
      <c r="F92" s="40">
        <f>IF(C92&gt;=TotalStations,0,IF(OR(B92="Dédié",$B$3="Plein temps (7h)"),MIN(FLOOR(420/E92,1),TotalStations-C92),MIN(VALUE($B$3),TotalStations-C92)))</f>
        <v/>
      </c>
      <c r="G92" s="38" t="n"/>
      <c r="H92" s="40">
        <f>IF(G92="","",G92-F92)</f>
        <v/>
      </c>
      <c r="I92" s="40">
        <f>SUM($H$48:H92)</f>
        <v/>
      </c>
      <c r="J92" s="40">
        <f>C92+F92</f>
        <v/>
      </c>
    </row>
    <row r="93" hidden="1" outlineLevel="1" ht="15" customHeight="1" s="18">
      <c r="A93" s="44" t="n">
        <v>46328</v>
      </c>
      <c r="B93" s="45" t="inlineStr">
        <is>
          <t>Normal</t>
        </is>
      </c>
      <c r="C93" s="40">
        <f>C92+IF(G92="",F92,G92)</f>
        <v/>
      </c>
      <c r="D93" s="40">
        <f>IF(C93&gt;=TotalStations,"Terminé",INDEX($A$9:$A$38,MATCH(SUMPRODUCT(($A$9:$A$38&lt;&gt;"")*($F$9:$F$38&lt;=C93))+1,$G$9:$G$38,0)))</f>
        <v/>
      </c>
      <c r="E93" s="40">
        <f>IF(C93&gt;=TotalStations,"",INDEX($C$9:$C$38,MATCH(SUMPRODUCT(($A$9:$A$38&lt;&gt;"")*($F$9:$F$38&lt;=C93))+1,$G$9:$G$38,0)))</f>
        <v/>
      </c>
      <c r="F93" s="40">
        <f>IF(C93&gt;=TotalStations,0,IF(OR(B93="Dédié",$B$3="Plein temps (7h)"),MIN(FLOOR(420/E93,1),TotalStations-C93),MIN(VALUE($B$3),TotalStations-C93)))</f>
        <v/>
      </c>
      <c r="G93" s="38" t="n"/>
      <c r="H93" s="40">
        <f>IF(G93="","",G93-F93)</f>
        <v/>
      </c>
      <c r="I93" s="40">
        <f>SUM($H$48:H93)</f>
        <v/>
      </c>
      <c r="J93" s="40">
        <f>C93+F93</f>
        <v/>
      </c>
    </row>
    <row r="94" hidden="1" outlineLevel="1" ht="15" customHeight="1" s="18">
      <c r="A94" s="44" t="n">
        <v>46329</v>
      </c>
      <c r="B94" s="45" t="inlineStr">
        <is>
          <t>Normal</t>
        </is>
      </c>
      <c r="C94" s="40">
        <f>C93+IF(G93="",F93,G93)</f>
        <v/>
      </c>
      <c r="D94" s="40">
        <f>IF(C94&gt;=TotalStations,"Terminé",INDEX($A$9:$A$38,MATCH(SUMPRODUCT(($A$9:$A$38&lt;&gt;"")*($F$9:$F$38&lt;=C94))+1,$G$9:$G$38,0)))</f>
        <v/>
      </c>
      <c r="E94" s="40">
        <f>IF(C94&gt;=TotalStations,"",INDEX($C$9:$C$38,MATCH(SUMPRODUCT(($A$9:$A$38&lt;&gt;"")*($F$9:$F$38&lt;=C94))+1,$G$9:$G$38,0)))</f>
        <v/>
      </c>
      <c r="F94" s="40">
        <f>IF(C94&gt;=TotalStations,0,IF(OR(B94="Dédié",$B$3="Plein temps (7h)"),MIN(FLOOR(420/E94,1),TotalStations-C94),MIN(VALUE($B$3),TotalStations-C94)))</f>
        <v/>
      </c>
      <c r="G94" s="38" t="n"/>
      <c r="H94" s="40">
        <f>IF(G94="","",G94-F94)</f>
        <v/>
      </c>
      <c r="I94" s="40">
        <f>SUM($H$48:H94)</f>
        <v/>
      </c>
      <c r="J94" s="40">
        <f>C94+F94</f>
        <v/>
      </c>
    </row>
    <row r="95" hidden="1" outlineLevel="1" ht="15" customHeight="1" s="18">
      <c r="A95" s="44" t="n">
        <v>46330</v>
      </c>
      <c r="B95" s="45" t="inlineStr">
        <is>
          <t>Normal</t>
        </is>
      </c>
      <c r="C95" s="40">
        <f>C94+IF(G94="",F94,G94)</f>
        <v/>
      </c>
      <c r="D95" s="40">
        <f>IF(C95&gt;=TotalStations,"Terminé",INDEX($A$9:$A$38,MATCH(SUMPRODUCT(($A$9:$A$38&lt;&gt;"")*($F$9:$F$38&lt;=C95))+1,$G$9:$G$38,0)))</f>
        <v/>
      </c>
      <c r="E95" s="40">
        <f>IF(C95&gt;=TotalStations,"",INDEX($C$9:$C$38,MATCH(SUMPRODUCT(($A$9:$A$38&lt;&gt;"")*($F$9:$F$38&lt;=C95))+1,$G$9:$G$38,0)))</f>
        <v/>
      </c>
      <c r="F95" s="40">
        <f>IF(C95&gt;=TotalStations,0,IF(OR(B95="Dédié",$B$3="Plein temps (7h)"),MIN(FLOOR(420/E95,1),TotalStations-C95),MIN(VALUE($B$3),TotalStations-C95)))</f>
        <v/>
      </c>
      <c r="G95" s="38" t="n"/>
      <c r="H95" s="40">
        <f>IF(G95="","",G95-F95)</f>
        <v/>
      </c>
      <c r="I95" s="40">
        <f>SUM($H$48:H95)</f>
        <v/>
      </c>
      <c r="J95" s="40">
        <f>C95+F95</f>
        <v/>
      </c>
    </row>
    <row r="96" hidden="1" outlineLevel="1" ht="15" customHeight="1" s="18">
      <c r="A96" s="44" t="n">
        <v>46331</v>
      </c>
      <c r="B96" s="45" t="inlineStr">
        <is>
          <t>Normal</t>
        </is>
      </c>
      <c r="C96" s="40">
        <f>C95+IF(G95="",F95,G95)</f>
        <v/>
      </c>
      <c r="D96" s="40">
        <f>IF(C96&gt;=TotalStations,"Terminé",INDEX($A$9:$A$38,MATCH(SUMPRODUCT(($A$9:$A$38&lt;&gt;"")*($F$9:$F$38&lt;=C96))+1,$G$9:$G$38,0)))</f>
        <v/>
      </c>
      <c r="E96" s="40">
        <f>IF(C96&gt;=TotalStations,"",INDEX($C$9:$C$38,MATCH(SUMPRODUCT(($A$9:$A$38&lt;&gt;"")*($F$9:$F$38&lt;=C96))+1,$G$9:$G$38,0)))</f>
        <v/>
      </c>
      <c r="F96" s="40">
        <f>IF(C96&gt;=TotalStations,0,IF(OR(B96="Dédié",$B$3="Plein temps (7h)"),MIN(FLOOR(420/E96,1),TotalStations-C96),MIN(VALUE($B$3),TotalStations-C96)))</f>
        <v/>
      </c>
      <c r="G96" s="38" t="n"/>
      <c r="H96" s="40">
        <f>IF(G96="","",G96-F96)</f>
        <v/>
      </c>
      <c r="I96" s="40">
        <f>SUM($H$48:H96)</f>
        <v/>
      </c>
      <c r="J96" s="40">
        <f>C96+F96</f>
        <v/>
      </c>
    </row>
    <row r="97" hidden="1" outlineLevel="1" ht="15" customHeight="1" s="18">
      <c r="A97" s="44" t="n">
        <v>46332</v>
      </c>
      <c r="B97" s="45" t="inlineStr">
        <is>
          <t>Normal</t>
        </is>
      </c>
      <c r="C97" s="40">
        <f>C96+IF(G96="",F96,G96)</f>
        <v/>
      </c>
      <c r="D97" s="40">
        <f>IF(C97&gt;=TotalStations,"Terminé",INDEX($A$9:$A$38,MATCH(SUMPRODUCT(($A$9:$A$38&lt;&gt;"")*($F$9:$F$38&lt;=C97))+1,$G$9:$G$38,0)))</f>
        <v/>
      </c>
      <c r="E97" s="40">
        <f>IF(C97&gt;=TotalStations,"",INDEX($C$9:$C$38,MATCH(SUMPRODUCT(($A$9:$A$38&lt;&gt;"")*($F$9:$F$38&lt;=C97))+1,$G$9:$G$38,0)))</f>
        <v/>
      </c>
      <c r="F97" s="40">
        <f>IF(C97&gt;=TotalStations,0,IF(OR(B97="Dédié",$B$3="Plein temps (7h)"),MIN(FLOOR(420/E97,1),TotalStations-C97),MIN(VALUE($B$3),TotalStations-C97)))</f>
        <v/>
      </c>
      <c r="G97" s="38" t="n"/>
      <c r="H97" s="40">
        <f>IF(G97="","",G97-F97)</f>
        <v/>
      </c>
      <c r="I97" s="40">
        <f>SUM($H$48:H97)</f>
        <v/>
      </c>
      <c r="J97" s="40">
        <f>C97+F97</f>
        <v/>
      </c>
    </row>
    <row r="98" hidden="1" outlineLevel="1" ht="15" customHeight="1" s="18">
      <c r="A98" s="44" t="n">
        <v>46335</v>
      </c>
      <c r="B98" s="45" t="inlineStr">
        <is>
          <t>Normal</t>
        </is>
      </c>
      <c r="C98" s="40">
        <f>C97+IF(G97="",F97,G97)</f>
        <v/>
      </c>
      <c r="D98" s="40">
        <f>IF(C98&gt;=TotalStations,"Terminé",INDEX($A$9:$A$38,MATCH(SUMPRODUCT(($A$9:$A$38&lt;&gt;"")*($F$9:$F$38&lt;=C98))+1,$G$9:$G$38,0)))</f>
        <v/>
      </c>
      <c r="E98" s="40">
        <f>IF(C98&gt;=TotalStations,"",INDEX($C$9:$C$38,MATCH(SUMPRODUCT(($A$9:$A$38&lt;&gt;"")*($F$9:$F$38&lt;=C98))+1,$G$9:$G$38,0)))</f>
        <v/>
      </c>
      <c r="F98" s="40">
        <f>IF(C98&gt;=TotalStations,0,IF(OR(B98="Dédié",$B$3="Plein temps (7h)"),MIN(FLOOR(420/E98,1),TotalStations-C98),MIN(VALUE($B$3),TotalStations-C98)))</f>
        <v/>
      </c>
      <c r="G98" s="38" t="n"/>
      <c r="H98" s="40">
        <f>IF(G98="","",G98-F98)</f>
        <v/>
      </c>
      <c r="I98" s="40">
        <f>SUM($H$48:H98)</f>
        <v/>
      </c>
      <c r="J98" s="40">
        <f>C98+F98</f>
        <v/>
      </c>
    </row>
    <row r="99" hidden="1" outlineLevel="1" ht="15" customHeight="1" s="18">
      <c r="A99" s="44" t="n">
        <v>46336</v>
      </c>
      <c r="B99" s="45" t="inlineStr">
        <is>
          <t>Normal</t>
        </is>
      </c>
      <c r="C99" s="40">
        <f>C98+IF(G98="",F98,G98)</f>
        <v/>
      </c>
      <c r="D99" s="40">
        <f>IF(C99&gt;=TotalStations,"Terminé",INDEX($A$9:$A$38,MATCH(SUMPRODUCT(($A$9:$A$38&lt;&gt;"")*($F$9:$F$38&lt;=C99))+1,$G$9:$G$38,0)))</f>
        <v/>
      </c>
      <c r="E99" s="40">
        <f>IF(C99&gt;=TotalStations,"",INDEX($C$9:$C$38,MATCH(SUMPRODUCT(($A$9:$A$38&lt;&gt;"")*($F$9:$F$38&lt;=C99))+1,$G$9:$G$38,0)))</f>
        <v/>
      </c>
      <c r="F99" s="40">
        <f>IF(C99&gt;=TotalStations,0,IF(OR(B99="Dédié",$B$3="Plein temps (7h)"),MIN(FLOOR(420/E99,1),TotalStations-C99),MIN(VALUE($B$3),TotalStations-C99)))</f>
        <v/>
      </c>
      <c r="G99" s="38" t="n"/>
      <c r="H99" s="40">
        <f>IF(G99="","",G99-F99)</f>
        <v/>
      </c>
      <c r="I99" s="40">
        <f>SUM($H$48:H99)</f>
        <v/>
      </c>
      <c r="J99" s="40">
        <f>C99+F99</f>
        <v/>
      </c>
    </row>
    <row r="100" hidden="1" outlineLevel="1" ht="15" customHeight="1" s="18">
      <c r="A100" s="44" t="n">
        <v>46337</v>
      </c>
      <c r="B100" s="45" t="inlineStr">
        <is>
          <t>Normal</t>
        </is>
      </c>
      <c r="C100" s="40">
        <f>C99+IF(G99="",F99,G99)</f>
        <v/>
      </c>
      <c r="D100" s="40">
        <f>IF(C100&gt;=TotalStations,"Terminé",INDEX($A$9:$A$38,MATCH(SUMPRODUCT(($A$9:$A$38&lt;&gt;"")*($F$9:$F$38&lt;=C100))+1,$G$9:$G$38,0)))</f>
        <v/>
      </c>
      <c r="E100" s="40">
        <f>IF(C100&gt;=TotalStations,"",INDEX($C$9:$C$38,MATCH(SUMPRODUCT(($A$9:$A$38&lt;&gt;"")*($F$9:$F$38&lt;=C100))+1,$G$9:$G$38,0)))</f>
        <v/>
      </c>
      <c r="F100" s="40">
        <f>IF(C100&gt;=TotalStations,0,IF(OR(B100="Dédié",$B$3="Plein temps (7h)"),MIN(FLOOR(420/E100,1),TotalStations-C100),MIN(VALUE($B$3),TotalStations-C100)))</f>
        <v/>
      </c>
      <c r="G100" s="38" t="n"/>
      <c r="H100" s="40">
        <f>IF(G100="","",G100-F100)</f>
        <v/>
      </c>
      <c r="I100" s="40">
        <f>SUM($H$48:H100)</f>
        <v/>
      </c>
      <c r="J100" s="40">
        <f>C100+F100</f>
        <v/>
      </c>
    </row>
    <row r="101" hidden="1" outlineLevel="1" ht="15" customHeight="1" s="18">
      <c r="A101" s="44" t="n">
        <v>46338</v>
      </c>
      <c r="B101" s="45" t="inlineStr">
        <is>
          <t>Normal</t>
        </is>
      </c>
      <c r="C101" s="40">
        <f>C100+IF(G100="",F100,G100)</f>
        <v/>
      </c>
      <c r="D101" s="40">
        <f>IF(C101&gt;=TotalStations,"Terminé",INDEX($A$9:$A$38,MATCH(SUMPRODUCT(($A$9:$A$38&lt;&gt;"")*($F$9:$F$38&lt;=C101))+1,$G$9:$G$38,0)))</f>
        <v/>
      </c>
      <c r="E101" s="40">
        <f>IF(C101&gt;=TotalStations,"",INDEX($C$9:$C$38,MATCH(SUMPRODUCT(($A$9:$A$38&lt;&gt;"")*($F$9:$F$38&lt;=C101))+1,$G$9:$G$38,0)))</f>
        <v/>
      </c>
      <c r="F101" s="40">
        <f>IF(C101&gt;=TotalStations,0,IF(OR(B101="Dédié",$B$3="Plein temps (7h)"),MIN(FLOOR(420/E101,1),TotalStations-C101),MIN(VALUE($B$3),TotalStations-C101)))</f>
        <v/>
      </c>
      <c r="G101" s="38" t="n"/>
      <c r="H101" s="40">
        <f>IF(G101="","",G101-F101)</f>
        <v/>
      </c>
      <c r="I101" s="40">
        <f>SUM($H$48:H101)</f>
        <v/>
      </c>
      <c r="J101" s="40">
        <f>C101+F101</f>
        <v/>
      </c>
    </row>
    <row r="102" hidden="1" outlineLevel="1" ht="15" customHeight="1" s="18">
      <c r="A102" s="44" t="n">
        <v>46339</v>
      </c>
      <c r="B102" s="45" t="inlineStr">
        <is>
          <t>Normal</t>
        </is>
      </c>
      <c r="C102" s="40">
        <f>C101+IF(G101="",F101,G101)</f>
        <v/>
      </c>
      <c r="D102" s="40">
        <f>IF(C102&gt;=TotalStations,"Terminé",INDEX($A$9:$A$38,MATCH(SUMPRODUCT(($A$9:$A$38&lt;&gt;"")*($F$9:$F$38&lt;=C102))+1,$G$9:$G$38,0)))</f>
        <v/>
      </c>
      <c r="E102" s="40">
        <f>IF(C102&gt;=TotalStations,"",INDEX($C$9:$C$38,MATCH(SUMPRODUCT(($A$9:$A$38&lt;&gt;"")*($F$9:$F$38&lt;=C102))+1,$G$9:$G$38,0)))</f>
        <v/>
      </c>
      <c r="F102" s="40">
        <f>IF(C102&gt;=TotalStations,0,IF(OR(B102="Dédié",$B$3="Plein temps (7h)"),MIN(FLOOR(420/E102,1),TotalStations-C102),MIN(VALUE($B$3),TotalStations-C102)))</f>
        <v/>
      </c>
      <c r="G102" s="38" t="n"/>
      <c r="H102" s="40">
        <f>IF(G102="","",G102-F102)</f>
        <v/>
      </c>
      <c r="I102" s="40">
        <f>SUM($H$48:H102)</f>
        <v/>
      </c>
      <c r="J102" s="40">
        <f>C102+F102</f>
        <v/>
      </c>
    </row>
    <row r="103" hidden="1" outlineLevel="1" ht="15" customHeight="1" s="18">
      <c r="A103" s="44" t="n">
        <v>46342</v>
      </c>
      <c r="B103" s="45" t="inlineStr">
        <is>
          <t>Normal</t>
        </is>
      </c>
      <c r="C103" s="40">
        <f>C102+IF(G102="",F102,G102)</f>
        <v/>
      </c>
      <c r="D103" s="40">
        <f>IF(C103&gt;=TotalStations,"Terminé",INDEX($A$9:$A$38,MATCH(SUMPRODUCT(($A$9:$A$38&lt;&gt;"")*($F$9:$F$38&lt;=C103))+1,$G$9:$G$38,0)))</f>
        <v/>
      </c>
      <c r="E103" s="40">
        <f>IF(C103&gt;=TotalStations,"",INDEX($C$9:$C$38,MATCH(SUMPRODUCT(($A$9:$A$38&lt;&gt;"")*($F$9:$F$38&lt;=C103))+1,$G$9:$G$38,0)))</f>
        <v/>
      </c>
      <c r="F103" s="40">
        <f>IF(C103&gt;=TotalStations,0,IF(OR(B103="Dédié",$B$3="Plein temps (7h)"),MIN(FLOOR(420/E103,1),TotalStations-C103),MIN(VALUE($B$3),TotalStations-C103)))</f>
        <v/>
      </c>
      <c r="G103" s="38" t="n"/>
      <c r="H103" s="40">
        <f>IF(G103="","",G103-F103)</f>
        <v/>
      </c>
      <c r="I103" s="40">
        <f>SUM($H$48:H103)</f>
        <v/>
      </c>
      <c r="J103" s="40">
        <f>C103+F103</f>
        <v/>
      </c>
    </row>
    <row r="104" hidden="1" outlineLevel="1" ht="15" customHeight="1" s="18">
      <c r="A104" s="44" t="n">
        <v>46343</v>
      </c>
      <c r="B104" s="45" t="inlineStr">
        <is>
          <t>Normal</t>
        </is>
      </c>
      <c r="C104" s="40">
        <f>C103+IF(G103="",F103,G103)</f>
        <v/>
      </c>
      <c r="D104" s="40">
        <f>IF(C104&gt;=TotalStations,"Terminé",INDEX($A$9:$A$38,MATCH(SUMPRODUCT(($A$9:$A$38&lt;&gt;"")*($F$9:$F$38&lt;=C104))+1,$G$9:$G$38,0)))</f>
        <v/>
      </c>
      <c r="E104" s="40">
        <f>IF(C104&gt;=TotalStations,"",INDEX($C$9:$C$38,MATCH(SUMPRODUCT(($A$9:$A$38&lt;&gt;"")*($F$9:$F$38&lt;=C104))+1,$G$9:$G$38,0)))</f>
        <v/>
      </c>
      <c r="F104" s="40">
        <f>IF(C104&gt;=TotalStations,0,IF(OR(B104="Dédié",$B$3="Plein temps (7h)"),MIN(FLOOR(420/E104,1),TotalStations-C104),MIN(VALUE($B$3),TotalStations-C104)))</f>
        <v/>
      </c>
      <c r="G104" s="38" t="n"/>
      <c r="H104" s="40">
        <f>IF(G104="","",G104-F104)</f>
        <v/>
      </c>
      <c r="I104" s="40">
        <f>SUM($H$48:H104)</f>
        <v/>
      </c>
      <c r="J104" s="40">
        <f>C104+F104</f>
        <v/>
      </c>
    </row>
    <row r="105" hidden="1" outlineLevel="1" ht="15" customHeight="1" s="18">
      <c r="A105" s="44" t="n">
        <v>46344</v>
      </c>
      <c r="B105" s="45" t="inlineStr">
        <is>
          <t>Normal</t>
        </is>
      </c>
      <c r="C105" s="40">
        <f>C104+IF(G104="",F104,G104)</f>
        <v/>
      </c>
      <c r="D105" s="40">
        <f>IF(C105&gt;=TotalStations,"Terminé",INDEX($A$9:$A$38,MATCH(SUMPRODUCT(($A$9:$A$38&lt;&gt;"")*($F$9:$F$38&lt;=C105))+1,$G$9:$G$38,0)))</f>
        <v/>
      </c>
      <c r="E105" s="40">
        <f>IF(C105&gt;=TotalStations,"",INDEX($C$9:$C$38,MATCH(SUMPRODUCT(($A$9:$A$38&lt;&gt;"")*($F$9:$F$38&lt;=C105))+1,$G$9:$G$38,0)))</f>
        <v/>
      </c>
      <c r="F105" s="40">
        <f>IF(C105&gt;=TotalStations,0,IF(OR(B105="Dédié",$B$3="Plein temps (7h)"),MIN(FLOOR(420/E105,1),TotalStations-C105),MIN(VALUE($B$3),TotalStations-C105)))</f>
        <v/>
      </c>
      <c r="G105" s="38" t="n"/>
      <c r="H105" s="40">
        <f>IF(G105="","",G105-F105)</f>
        <v/>
      </c>
      <c r="I105" s="40">
        <f>SUM($H$48:H105)</f>
        <v/>
      </c>
      <c r="J105" s="40">
        <f>C105+F105</f>
        <v/>
      </c>
    </row>
    <row r="106" hidden="1" outlineLevel="1" ht="15" customHeight="1" s="18">
      <c r="A106" s="44" t="n">
        <v>46345</v>
      </c>
      <c r="B106" s="45" t="inlineStr">
        <is>
          <t>Normal</t>
        </is>
      </c>
      <c r="C106" s="40">
        <f>C105+IF(G105="",F105,G105)</f>
        <v/>
      </c>
      <c r="D106" s="40">
        <f>IF(C106&gt;=TotalStations,"Terminé",INDEX($A$9:$A$38,MATCH(SUMPRODUCT(($A$9:$A$38&lt;&gt;"")*($F$9:$F$38&lt;=C106))+1,$G$9:$G$38,0)))</f>
        <v/>
      </c>
      <c r="E106" s="40">
        <f>IF(C106&gt;=TotalStations,"",INDEX($C$9:$C$38,MATCH(SUMPRODUCT(($A$9:$A$38&lt;&gt;"")*($F$9:$F$38&lt;=C106))+1,$G$9:$G$38,0)))</f>
        <v/>
      </c>
      <c r="F106" s="40">
        <f>IF(C106&gt;=TotalStations,0,IF(OR(B106="Dédié",$B$3="Plein temps (7h)"),MIN(FLOOR(420/E106,1),TotalStations-C106),MIN(VALUE($B$3),TotalStations-C106)))</f>
        <v/>
      </c>
      <c r="G106" s="38" t="n"/>
      <c r="H106" s="40">
        <f>IF(G106="","",G106-F106)</f>
        <v/>
      </c>
      <c r="I106" s="40">
        <f>SUM($H$48:H106)</f>
        <v/>
      </c>
      <c r="J106" s="40">
        <f>C106+F106</f>
        <v/>
      </c>
    </row>
    <row r="107" hidden="1" outlineLevel="1" ht="15" customHeight="1" s="18">
      <c r="A107" s="44" t="n">
        <v>46346</v>
      </c>
      <c r="B107" s="45" t="inlineStr">
        <is>
          <t>Normal</t>
        </is>
      </c>
      <c r="C107" s="40">
        <f>C106+IF(G106="",F106,G106)</f>
        <v/>
      </c>
      <c r="D107" s="40">
        <f>IF(C107&gt;=TotalStations,"Terminé",INDEX($A$9:$A$38,MATCH(SUMPRODUCT(($A$9:$A$38&lt;&gt;"")*($F$9:$F$38&lt;=C107))+1,$G$9:$G$38,0)))</f>
        <v/>
      </c>
      <c r="E107" s="40">
        <f>IF(C107&gt;=TotalStations,"",INDEX($C$9:$C$38,MATCH(SUMPRODUCT(($A$9:$A$38&lt;&gt;"")*($F$9:$F$38&lt;=C107))+1,$G$9:$G$38,0)))</f>
        <v/>
      </c>
      <c r="F107" s="40">
        <f>IF(C107&gt;=TotalStations,0,IF(OR(B107="Dédié",$B$3="Plein temps (7h)"),MIN(FLOOR(420/E107,1),TotalStations-C107),MIN(VALUE($B$3),TotalStations-C107)))</f>
        <v/>
      </c>
      <c r="G107" s="38" t="n"/>
      <c r="H107" s="40">
        <f>IF(G107="","",G107-F107)</f>
        <v/>
      </c>
      <c r="I107" s="40">
        <f>SUM($H$48:H107)</f>
        <v/>
      </c>
      <c r="J107" s="40">
        <f>C107+F107</f>
        <v/>
      </c>
    </row>
    <row r="108" hidden="1" outlineLevel="1" ht="15" customHeight="1" s="18">
      <c r="A108" s="44" t="n">
        <v>46349</v>
      </c>
      <c r="B108" s="45" t="inlineStr">
        <is>
          <t>Normal</t>
        </is>
      </c>
      <c r="C108" s="40">
        <f>C107+IF(G107="",F107,G107)</f>
        <v/>
      </c>
      <c r="D108" s="40">
        <f>IF(C108&gt;=TotalStations,"Terminé",INDEX($A$9:$A$38,MATCH(SUMPRODUCT(($A$9:$A$38&lt;&gt;"")*($F$9:$F$38&lt;=C108))+1,$G$9:$G$38,0)))</f>
        <v/>
      </c>
      <c r="E108" s="40">
        <f>IF(C108&gt;=TotalStations,"",INDEX($C$9:$C$38,MATCH(SUMPRODUCT(($A$9:$A$38&lt;&gt;"")*($F$9:$F$38&lt;=C108))+1,$G$9:$G$38,0)))</f>
        <v/>
      </c>
      <c r="F108" s="40">
        <f>IF(C108&gt;=TotalStations,0,IF(OR(B108="Dédié",$B$3="Plein temps (7h)"),MIN(FLOOR(420/E108,1),TotalStations-C108),MIN(VALUE($B$3),TotalStations-C108)))</f>
        <v/>
      </c>
      <c r="G108" s="38" t="n"/>
      <c r="H108" s="40">
        <f>IF(G108="","",G108-F108)</f>
        <v/>
      </c>
      <c r="I108" s="40">
        <f>SUM($H$48:H108)</f>
        <v/>
      </c>
      <c r="J108" s="40">
        <f>C108+F108</f>
        <v/>
      </c>
    </row>
    <row r="109" hidden="1" outlineLevel="1" ht="15" customHeight="1" s="18">
      <c r="A109" s="44" t="n">
        <v>46350</v>
      </c>
      <c r="B109" s="45" t="inlineStr">
        <is>
          <t>Normal</t>
        </is>
      </c>
      <c r="C109" s="40">
        <f>C108+IF(G108="",F108,G108)</f>
        <v/>
      </c>
      <c r="D109" s="40">
        <f>IF(C109&gt;=TotalStations,"Terminé",INDEX($A$9:$A$38,MATCH(SUMPRODUCT(($A$9:$A$38&lt;&gt;"")*($F$9:$F$38&lt;=C109))+1,$G$9:$G$38,0)))</f>
        <v/>
      </c>
      <c r="E109" s="40">
        <f>IF(C109&gt;=TotalStations,"",INDEX($C$9:$C$38,MATCH(SUMPRODUCT(($A$9:$A$38&lt;&gt;"")*($F$9:$F$38&lt;=C109))+1,$G$9:$G$38,0)))</f>
        <v/>
      </c>
      <c r="F109" s="40">
        <f>IF(C109&gt;=TotalStations,0,IF(OR(B109="Dédié",$B$3="Plein temps (7h)"),MIN(FLOOR(420/E109,1),TotalStations-C109),MIN(VALUE($B$3),TotalStations-C109)))</f>
        <v/>
      </c>
      <c r="G109" s="38" t="n"/>
      <c r="H109" s="40">
        <f>IF(G109="","",G109-F109)</f>
        <v/>
      </c>
      <c r="I109" s="40">
        <f>SUM($H$48:H109)</f>
        <v/>
      </c>
      <c r="J109" s="40">
        <f>C109+F109</f>
        <v/>
      </c>
    </row>
    <row r="110" hidden="1" outlineLevel="1" ht="15" customHeight="1" s="18">
      <c r="A110" s="44" t="n">
        <v>46351</v>
      </c>
      <c r="B110" s="45" t="inlineStr">
        <is>
          <t>Normal</t>
        </is>
      </c>
      <c r="C110" s="40">
        <f>C109+IF(G109="",F109,G109)</f>
        <v/>
      </c>
      <c r="D110" s="40">
        <f>IF(C110&gt;=TotalStations,"Terminé",INDEX($A$9:$A$38,MATCH(SUMPRODUCT(($A$9:$A$38&lt;&gt;"")*($F$9:$F$38&lt;=C110))+1,$G$9:$G$38,0)))</f>
        <v/>
      </c>
      <c r="E110" s="40">
        <f>IF(C110&gt;=TotalStations,"",INDEX($C$9:$C$38,MATCH(SUMPRODUCT(($A$9:$A$38&lt;&gt;"")*($F$9:$F$38&lt;=C110))+1,$G$9:$G$38,0)))</f>
        <v/>
      </c>
      <c r="F110" s="40">
        <f>IF(C110&gt;=TotalStations,0,IF(OR(B110="Dédié",$B$3="Plein temps (7h)"),MIN(FLOOR(420/E110,1),TotalStations-C110),MIN(VALUE($B$3),TotalStations-C110)))</f>
        <v/>
      </c>
      <c r="G110" s="38" t="n"/>
      <c r="H110" s="40">
        <f>IF(G110="","",G110-F110)</f>
        <v/>
      </c>
      <c r="I110" s="40">
        <f>SUM($H$48:H110)</f>
        <v/>
      </c>
      <c r="J110" s="40">
        <f>C110+F110</f>
        <v/>
      </c>
    </row>
    <row r="111" hidden="1" outlineLevel="1" ht="15" customHeight="1" s="18">
      <c r="A111" s="44" t="n">
        <v>46352</v>
      </c>
      <c r="B111" s="45" t="inlineStr">
        <is>
          <t>Normal</t>
        </is>
      </c>
      <c r="C111" s="40">
        <f>C110+IF(G110="",F110,G110)</f>
        <v/>
      </c>
      <c r="D111" s="40">
        <f>IF(C111&gt;=TotalStations,"Terminé",INDEX($A$9:$A$38,MATCH(SUMPRODUCT(($A$9:$A$38&lt;&gt;"")*($F$9:$F$38&lt;=C111))+1,$G$9:$G$38,0)))</f>
        <v/>
      </c>
      <c r="E111" s="40">
        <f>IF(C111&gt;=TotalStations,"",INDEX($C$9:$C$38,MATCH(SUMPRODUCT(($A$9:$A$38&lt;&gt;"")*($F$9:$F$38&lt;=C111))+1,$G$9:$G$38,0)))</f>
        <v/>
      </c>
      <c r="F111" s="40">
        <f>IF(C111&gt;=TotalStations,0,IF(OR(B111="Dédié",$B$3="Plein temps (7h)"),MIN(FLOOR(420/E111,1),TotalStations-C111),MIN(VALUE($B$3),TotalStations-C111)))</f>
        <v/>
      </c>
      <c r="G111" s="38" t="n"/>
      <c r="H111" s="40">
        <f>IF(G111="","",G111-F111)</f>
        <v/>
      </c>
      <c r="I111" s="40">
        <f>SUM($H$48:H111)</f>
        <v/>
      </c>
      <c r="J111" s="40">
        <f>C111+F111</f>
        <v/>
      </c>
    </row>
    <row r="112" hidden="1" outlineLevel="1" ht="15" customHeight="1" s="18">
      <c r="A112" s="44" t="n">
        <v>46353</v>
      </c>
      <c r="B112" s="45" t="inlineStr">
        <is>
          <t>Normal</t>
        </is>
      </c>
      <c r="C112" s="40">
        <f>C111+IF(G111="",F111,G111)</f>
        <v/>
      </c>
      <c r="D112" s="40">
        <f>IF(C112&gt;=TotalStations,"Terminé",INDEX($A$9:$A$38,MATCH(SUMPRODUCT(($A$9:$A$38&lt;&gt;"")*($F$9:$F$38&lt;=C112))+1,$G$9:$G$38,0)))</f>
        <v/>
      </c>
      <c r="E112" s="40">
        <f>IF(C112&gt;=TotalStations,"",INDEX($C$9:$C$38,MATCH(SUMPRODUCT(($A$9:$A$38&lt;&gt;"")*($F$9:$F$38&lt;=C112))+1,$G$9:$G$38,0)))</f>
        <v/>
      </c>
      <c r="F112" s="40">
        <f>IF(C112&gt;=TotalStations,0,IF(OR(B112="Dédié",$B$3="Plein temps (7h)"),MIN(FLOOR(420/E112,1),TotalStations-C112),MIN(VALUE($B$3),TotalStations-C112)))</f>
        <v/>
      </c>
      <c r="G112" s="38" t="n"/>
      <c r="H112" s="40">
        <f>IF(G112="","",G112-F112)</f>
        <v/>
      </c>
      <c r="I112" s="40">
        <f>SUM($H$48:H112)</f>
        <v/>
      </c>
      <c r="J112" s="40">
        <f>C112+F112</f>
        <v/>
      </c>
    </row>
    <row r="113" hidden="1" outlineLevel="1" ht="15" customHeight="1" s="18">
      <c r="A113" s="44" t="n">
        <v>46356</v>
      </c>
      <c r="B113" s="45" t="inlineStr">
        <is>
          <t>Normal</t>
        </is>
      </c>
      <c r="C113" s="40">
        <f>C112+IF(G112="",F112,G112)</f>
        <v/>
      </c>
      <c r="D113" s="40">
        <f>IF(C113&gt;=TotalStations,"Terminé",INDEX($A$9:$A$38,MATCH(SUMPRODUCT(($A$9:$A$38&lt;&gt;"")*($F$9:$F$38&lt;=C113))+1,$G$9:$G$38,0)))</f>
        <v/>
      </c>
      <c r="E113" s="40">
        <f>IF(C113&gt;=TotalStations,"",INDEX($C$9:$C$38,MATCH(SUMPRODUCT(($A$9:$A$38&lt;&gt;"")*($F$9:$F$38&lt;=C113))+1,$G$9:$G$38,0)))</f>
        <v/>
      </c>
      <c r="F113" s="40">
        <f>IF(C113&gt;=TotalStations,0,IF(OR(B113="Dédié",$B$3="Plein temps (7h)"),MIN(FLOOR(420/E113,1),TotalStations-C113),MIN(VALUE($B$3),TotalStations-C113)))</f>
        <v/>
      </c>
      <c r="G113" s="38" t="n"/>
      <c r="H113" s="40">
        <f>IF(G113="","",G113-F113)</f>
        <v/>
      </c>
      <c r="I113" s="40">
        <f>SUM($H$48:H113)</f>
        <v/>
      </c>
      <c r="J113" s="40">
        <f>C113+F113</f>
        <v/>
      </c>
    </row>
    <row r="114" hidden="1" outlineLevel="1" ht="15" customHeight="1" s="18">
      <c r="A114" s="44" t="n">
        <v>46357</v>
      </c>
      <c r="B114" s="45" t="inlineStr">
        <is>
          <t>Normal</t>
        </is>
      </c>
      <c r="C114" s="40">
        <f>C113+IF(G113="",F113,G113)</f>
        <v/>
      </c>
      <c r="D114" s="40">
        <f>IF(C114&gt;=TotalStations,"Terminé",INDEX($A$9:$A$38,MATCH(SUMPRODUCT(($A$9:$A$38&lt;&gt;"")*($F$9:$F$38&lt;=C114))+1,$G$9:$G$38,0)))</f>
        <v/>
      </c>
      <c r="E114" s="40">
        <f>IF(C114&gt;=TotalStations,"",INDEX($C$9:$C$38,MATCH(SUMPRODUCT(($A$9:$A$38&lt;&gt;"")*($F$9:$F$38&lt;=C114))+1,$G$9:$G$38,0)))</f>
        <v/>
      </c>
      <c r="F114" s="40">
        <f>IF(C114&gt;=TotalStations,0,IF(OR(B114="Dédié",$B$3="Plein temps (7h)"),MIN(FLOOR(420/E114,1),TotalStations-C114),MIN(VALUE($B$3),TotalStations-C114)))</f>
        <v/>
      </c>
      <c r="G114" s="38" t="n"/>
      <c r="H114" s="40">
        <f>IF(G114="","",G114-F114)</f>
        <v/>
      </c>
      <c r="I114" s="40">
        <f>SUM($H$48:H114)</f>
        <v/>
      </c>
      <c r="J114" s="40">
        <f>C114+F114</f>
        <v/>
      </c>
    </row>
    <row r="115" hidden="1" outlineLevel="1" ht="15" customHeight="1" s="18">
      <c r="A115" s="44" t="n">
        <v>46358</v>
      </c>
      <c r="B115" s="45" t="inlineStr">
        <is>
          <t>Normal</t>
        </is>
      </c>
      <c r="C115" s="40">
        <f>C114+IF(G114="",F114,G114)</f>
        <v/>
      </c>
      <c r="D115" s="40">
        <f>IF(C115&gt;=TotalStations,"Terminé",INDEX($A$9:$A$38,MATCH(SUMPRODUCT(($A$9:$A$38&lt;&gt;"")*($F$9:$F$38&lt;=C115))+1,$G$9:$G$38,0)))</f>
        <v/>
      </c>
      <c r="E115" s="40">
        <f>IF(C115&gt;=TotalStations,"",INDEX($C$9:$C$38,MATCH(SUMPRODUCT(($A$9:$A$38&lt;&gt;"")*($F$9:$F$38&lt;=C115))+1,$G$9:$G$38,0)))</f>
        <v/>
      </c>
      <c r="F115" s="40">
        <f>IF(C115&gt;=TotalStations,0,IF(OR(B115="Dédié",$B$3="Plein temps (7h)"),MIN(FLOOR(420/E115,1),TotalStations-C115),MIN(VALUE($B$3),TotalStations-C115)))</f>
        <v/>
      </c>
      <c r="G115" s="38" t="n"/>
      <c r="H115" s="40">
        <f>IF(G115="","",G115-F115)</f>
        <v/>
      </c>
      <c r="I115" s="40">
        <f>SUM($H$48:H115)</f>
        <v/>
      </c>
      <c r="J115" s="40">
        <f>C115+F115</f>
        <v/>
      </c>
    </row>
    <row r="116" hidden="1" outlineLevel="1" ht="15" customHeight="1" s="18">
      <c r="A116" s="44" t="n">
        <v>46359</v>
      </c>
      <c r="B116" s="45" t="inlineStr">
        <is>
          <t>Normal</t>
        </is>
      </c>
      <c r="C116" s="40">
        <f>C115+IF(G115="",F115,G115)</f>
        <v/>
      </c>
      <c r="D116" s="40">
        <f>IF(C116&gt;=TotalStations,"Terminé",INDEX($A$9:$A$38,MATCH(SUMPRODUCT(($A$9:$A$38&lt;&gt;"")*($F$9:$F$38&lt;=C116))+1,$G$9:$G$38,0)))</f>
        <v/>
      </c>
      <c r="E116" s="40">
        <f>IF(C116&gt;=TotalStations,"",INDEX($C$9:$C$38,MATCH(SUMPRODUCT(($A$9:$A$38&lt;&gt;"")*($F$9:$F$38&lt;=C116))+1,$G$9:$G$38,0)))</f>
        <v/>
      </c>
      <c r="F116" s="40">
        <f>IF(C116&gt;=TotalStations,0,IF(OR(B116="Dédié",$B$3="Plein temps (7h)"),MIN(FLOOR(420/E116,1),TotalStations-C116),MIN(VALUE($B$3),TotalStations-C116)))</f>
        <v/>
      </c>
      <c r="G116" s="38" t="n"/>
      <c r="H116" s="40">
        <f>IF(G116="","",G116-F116)</f>
        <v/>
      </c>
      <c r="I116" s="40">
        <f>SUM($H$48:H116)</f>
        <v/>
      </c>
      <c r="J116" s="40">
        <f>C116+F116</f>
        <v/>
      </c>
    </row>
    <row r="117" hidden="1" outlineLevel="1" ht="15" customHeight="1" s="18">
      <c r="A117" s="44" t="n">
        <v>46360</v>
      </c>
      <c r="B117" s="45" t="inlineStr">
        <is>
          <t>Normal</t>
        </is>
      </c>
      <c r="C117" s="40">
        <f>C116+IF(G116="",F116,G116)</f>
        <v/>
      </c>
      <c r="D117" s="40">
        <f>IF(C117&gt;=TotalStations,"Terminé",INDEX($A$9:$A$38,MATCH(SUMPRODUCT(($A$9:$A$38&lt;&gt;"")*($F$9:$F$38&lt;=C117))+1,$G$9:$G$38,0)))</f>
        <v/>
      </c>
      <c r="E117" s="40">
        <f>IF(C117&gt;=TotalStations,"",INDEX($C$9:$C$38,MATCH(SUMPRODUCT(($A$9:$A$38&lt;&gt;"")*($F$9:$F$38&lt;=C117))+1,$G$9:$G$38,0)))</f>
        <v/>
      </c>
      <c r="F117" s="40">
        <f>IF(C117&gt;=TotalStations,0,IF(OR(B117="Dédié",$B$3="Plein temps (7h)"),MIN(FLOOR(420/E117,1),TotalStations-C117),MIN(VALUE($B$3),TotalStations-C117)))</f>
        <v/>
      </c>
      <c r="G117" s="38" t="n"/>
      <c r="H117" s="40">
        <f>IF(G117="","",G117-F117)</f>
        <v/>
      </c>
      <c r="I117" s="40">
        <f>SUM($H$48:H117)</f>
        <v/>
      </c>
      <c r="J117" s="40">
        <f>C117+F117</f>
        <v/>
      </c>
    </row>
    <row r="118" hidden="1" outlineLevel="1" ht="15" customHeight="1" s="18">
      <c r="A118" s="44" t="n">
        <v>46363</v>
      </c>
      <c r="B118" s="45" t="inlineStr">
        <is>
          <t>Normal</t>
        </is>
      </c>
      <c r="C118" s="40">
        <f>C117+IF(G117="",F117,G117)</f>
        <v/>
      </c>
      <c r="D118" s="40">
        <f>IF(C118&gt;=TotalStations,"Terminé",INDEX($A$9:$A$38,MATCH(SUMPRODUCT(($A$9:$A$38&lt;&gt;"")*($F$9:$F$38&lt;=C118))+1,$G$9:$G$38,0)))</f>
        <v/>
      </c>
      <c r="E118" s="40">
        <f>IF(C118&gt;=TotalStations,"",INDEX($C$9:$C$38,MATCH(SUMPRODUCT(($A$9:$A$38&lt;&gt;"")*($F$9:$F$38&lt;=C118))+1,$G$9:$G$38,0)))</f>
        <v/>
      </c>
      <c r="F118" s="40">
        <f>IF(C118&gt;=TotalStations,0,IF(OR(B118="Dédié",$B$3="Plein temps (7h)"),MIN(FLOOR(420/E118,1),TotalStations-C118),MIN(VALUE($B$3),TotalStations-C118)))</f>
        <v/>
      </c>
      <c r="G118" s="38" t="n"/>
      <c r="H118" s="40">
        <f>IF(G118="","",G118-F118)</f>
        <v/>
      </c>
      <c r="I118" s="40">
        <f>SUM($H$48:H118)</f>
        <v/>
      </c>
      <c r="J118" s="40">
        <f>C118+F118</f>
        <v/>
      </c>
    </row>
    <row r="119" hidden="1" outlineLevel="1" ht="15" customHeight="1" s="18">
      <c r="A119" s="44" t="n">
        <v>46364</v>
      </c>
      <c r="B119" s="45" t="inlineStr">
        <is>
          <t>Normal</t>
        </is>
      </c>
      <c r="C119" s="40">
        <f>C118+IF(G118="",F118,G118)</f>
        <v/>
      </c>
      <c r="D119" s="40">
        <f>IF(C119&gt;=TotalStations,"Terminé",INDEX($A$9:$A$38,MATCH(SUMPRODUCT(($A$9:$A$38&lt;&gt;"")*($F$9:$F$38&lt;=C119))+1,$G$9:$G$38,0)))</f>
        <v/>
      </c>
      <c r="E119" s="40">
        <f>IF(C119&gt;=TotalStations,"",INDEX($C$9:$C$38,MATCH(SUMPRODUCT(($A$9:$A$38&lt;&gt;"")*($F$9:$F$38&lt;=C119))+1,$G$9:$G$38,0)))</f>
        <v/>
      </c>
      <c r="F119" s="40">
        <f>IF(C119&gt;=TotalStations,0,IF(OR(B119="Dédié",$B$3="Plein temps (7h)"),MIN(FLOOR(420/E119,1),TotalStations-C119),MIN(VALUE($B$3),TotalStations-C119)))</f>
        <v/>
      </c>
      <c r="G119" s="38" t="n"/>
      <c r="H119" s="40">
        <f>IF(G119="","",G119-F119)</f>
        <v/>
      </c>
      <c r="I119" s="40">
        <f>SUM($H$48:H119)</f>
        <v/>
      </c>
      <c r="J119" s="40">
        <f>C119+F119</f>
        <v/>
      </c>
    </row>
    <row r="120" hidden="1" outlineLevel="1" ht="15" customHeight="1" s="18">
      <c r="A120" s="44" t="n">
        <v>46365</v>
      </c>
      <c r="B120" s="45" t="inlineStr">
        <is>
          <t>Normal</t>
        </is>
      </c>
      <c r="C120" s="40">
        <f>C119+IF(G119="",F119,G119)</f>
        <v/>
      </c>
      <c r="D120" s="40">
        <f>IF(C120&gt;=TotalStations,"Terminé",INDEX($A$9:$A$38,MATCH(SUMPRODUCT(($A$9:$A$38&lt;&gt;"")*($F$9:$F$38&lt;=C120))+1,$G$9:$G$38,0)))</f>
        <v/>
      </c>
      <c r="E120" s="40">
        <f>IF(C120&gt;=TotalStations,"",INDEX($C$9:$C$38,MATCH(SUMPRODUCT(($A$9:$A$38&lt;&gt;"")*($F$9:$F$38&lt;=C120))+1,$G$9:$G$38,0)))</f>
        <v/>
      </c>
      <c r="F120" s="40">
        <f>IF(C120&gt;=TotalStations,0,IF(OR(B120="Dédié",$B$3="Plein temps (7h)"),MIN(FLOOR(420/E120,1),TotalStations-C120),MIN(VALUE($B$3),TotalStations-C120)))</f>
        <v/>
      </c>
      <c r="G120" s="38" t="n"/>
      <c r="H120" s="40">
        <f>IF(G120="","",G120-F120)</f>
        <v/>
      </c>
      <c r="I120" s="40">
        <f>SUM($H$48:H120)</f>
        <v/>
      </c>
      <c r="J120" s="40">
        <f>C120+F120</f>
        <v/>
      </c>
    </row>
    <row r="121" hidden="1" outlineLevel="1" ht="15" customHeight="1" s="18">
      <c r="A121" s="44" t="n">
        <v>46366</v>
      </c>
      <c r="B121" s="45" t="inlineStr">
        <is>
          <t>Normal</t>
        </is>
      </c>
      <c r="C121" s="40">
        <f>C120+IF(G120="",F120,G120)</f>
        <v/>
      </c>
      <c r="D121" s="40">
        <f>IF(C121&gt;=TotalStations,"Terminé",INDEX($A$9:$A$38,MATCH(SUMPRODUCT(($A$9:$A$38&lt;&gt;"")*($F$9:$F$38&lt;=C121))+1,$G$9:$G$38,0)))</f>
        <v/>
      </c>
      <c r="E121" s="40">
        <f>IF(C121&gt;=TotalStations,"",INDEX($C$9:$C$38,MATCH(SUMPRODUCT(($A$9:$A$38&lt;&gt;"")*($F$9:$F$38&lt;=C121))+1,$G$9:$G$38,0)))</f>
        <v/>
      </c>
      <c r="F121" s="40">
        <f>IF(C121&gt;=TotalStations,0,IF(OR(B121="Dédié",$B$3="Plein temps (7h)"),MIN(FLOOR(420/E121,1),TotalStations-C121),MIN(VALUE($B$3),TotalStations-C121)))</f>
        <v/>
      </c>
      <c r="G121" s="38" t="n"/>
      <c r="H121" s="40">
        <f>IF(G121="","",G121-F121)</f>
        <v/>
      </c>
      <c r="I121" s="40">
        <f>SUM($H$48:H121)</f>
        <v/>
      </c>
      <c r="J121" s="40">
        <f>C121+F121</f>
        <v/>
      </c>
    </row>
    <row r="122" hidden="1" outlineLevel="1" ht="15" customHeight="1" s="18">
      <c r="A122" s="44" t="n">
        <v>46367</v>
      </c>
      <c r="B122" s="45" t="inlineStr">
        <is>
          <t>Normal</t>
        </is>
      </c>
      <c r="C122" s="40">
        <f>C121+IF(G121="",F121,G121)</f>
        <v/>
      </c>
      <c r="D122" s="40">
        <f>IF(C122&gt;=TotalStations,"Terminé",INDEX($A$9:$A$38,MATCH(SUMPRODUCT(($A$9:$A$38&lt;&gt;"")*($F$9:$F$38&lt;=C122))+1,$G$9:$G$38,0)))</f>
        <v/>
      </c>
      <c r="E122" s="40">
        <f>IF(C122&gt;=TotalStations,"",INDEX($C$9:$C$38,MATCH(SUMPRODUCT(($A$9:$A$38&lt;&gt;"")*($F$9:$F$38&lt;=C122))+1,$G$9:$G$38,0)))</f>
        <v/>
      </c>
      <c r="F122" s="40">
        <f>IF(C122&gt;=TotalStations,0,IF(OR(B122="Dédié",$B$3="Plein temps (7h)"),MIN(FLOOR(420/E122,1),TotalStations-C122),MIN(VALUE($B$3),TotalStations-C122)))</f>
        <v/>
      </c>
      <c r="G122" s="38" t="n"/>
      <c r="H122" s="40">
        <f>IF(G122="","",G122-F122)</f>
        <v/>
      </c>
      <c r="I122" s="40">
        <f>SUM($H$48:H122)</f>
        <v/>
      </c>
      <c r="J122" s="40">
        <f>C122+F122</f>
        <v/>
      </c>
    </row>
    <row r="123" hidden="1" outlineLevel="1" ht="15" customHeight="1" s="18">
      <c r="A123" s="44" t="n">
        <v>46370</v>
      </c>
      <c r="B123" s="45" t="inlineStr">
        <is>
          <t>Normal</t>
        </is>
      </c>
      <c r="C123" s="40">
        <f>C122+IF(G122="",F122,G122)</f>
        <v/>
      </c>
      <c r="D123" s="40">
        <f>IF(C123&gt;=TotalStations,"Terminé",INDEX($A$9:$A$38,MATCH(SUMPRODUCT(($A$9:$A$38&lt;&gt;"")*($F$9:$F$38&lt;=C123))+1,$G$9:$G$38,0)))</f>
        <v/>
      </c>
      <c r="E123" s="40">
        <f>IF(C123&gt;=TotalStations,"",INDEX($C$9:$C$38,MATCH(SUMPRODUCT(($A$9:$A$38&lt;&gt;"")*($F$9:$F$38&lt;=C123))+1,$G$9:$G$38,0)))</f>
        <v/>
      </c>
      <c r="F123" s="40">
        <f>IF(C123&gt;=TotalStations,0,IF(OR(B123="Dédié",$B$3="Plein temps (7h)"),MIN(FLOOR(420/E123,1),TotalStations-C123),MIN(VALUE($B$3),TotalStations-C123)))</f>
        <v/>
      </c>
      <c r="G123" s="38" t="n"/>
      <c r="H123" s="40">
        <f>IF(G123="","",G123-F123)</f>
        <v/>
      </c>
      <c r="I123" s="40">
        <f>SUM($H$48:H123)</f>
        <v/>
      </c>
      <c r="J123" s="40">
        <f>C123+F123</f>
        <v/>
      </c>
    </row>
    <row r="124" hidden="1" outlineLevel="1" ht="15" customHeight="1" s="18">
      <c r="A124" s="44" t="n">
        <v>46371</v>
      </c>
      <c r="B124" s="45" t="inlineStr">
        <is>
          <t>Normal</t>
        </is>
      </c>
      <c r="C124" s="40">
        <f>C123+IF(G123="",F123,G123)</f>
        <v/>
      </c>
      <c r="D124" s="40">
        <f>IF(C124&gt;=TotalStations,"Terminé",INDEX($A$9:$A$38,MATCH(SUMPRODUCT(($A$9:$A$38&lt;&gt;"")*($F$9:$F$38&lt;=C124))+1,$G$9:$G$38,0)))</f>
        <v/>
      </c>
      <c r="E124" s="40">
        <f>IF(C124&gt;=TotalStations,"",INDEX($C$9:$C$38,MATCH(SUMPRODUCT(($A$9:$A$38&lt;&gt;"")*($F$9:$F$38&lt;=C124))+1,$G$9:$G$38,0)))</f>
        <v/>
      </c>
      <c r="F124" s="40">
        <f>IF(C124&gt;=TotalStations,0,IF(OR(B124="Dédié",$B$3="Plein temps (7h)"),MIN(FLOOR(420/E124,1),TotalStations-C124),MIN(VALUE($B$3),TotalStations-C124)))</f>
        <v/>
      </c>
      <c r="G124" s="38" t="n"/>
      <c r="H124" s="40">
        <f>IF(G124="","",G124-F124)</f>
        <v/>
      </c>
      <c r="I124" s="40">
        <f>SUM($H$48:H124)</f>
        <v/>
      </c>
      <c r="J124" s="40">
        <f>C124+F124</f>
        <v/>
      </c>
    </row>
    <row r="125" hidden="1" outlineLevel="1" ht="15" customHeight="1" s="18">
      <c r="A125" s="44" t="n">
        <v>46372</v>
      </c>
      <c r="B125" s="45" t="inlineStr">
        <is>
          <t>Normal</t>
        </is>
      </c>
      <c r="C125" s="40">
        <f>C124+IF(G124="",F124,G124)</f>
        <v/>
      </c>
      <c r="D125" s="40">
        <f>IF(C125&gt;=TotalStations,"Terminé",INDEX($A$9:$A$38,MATCH(SUMPRODUCT(($A$9:$A$38&lt;&gt;"")*($F$9:$F$38&lt;=C125))+1,$G$9:$G$38,0)))</f>
        <v/>
      </c>
      <c r="E125" s="40">
        <f>IF(C125&gt;=TotalStations,"",INDEX($C$9:$C$38,MATCH(SUMPRODUCT(($A$9:$A$38&lt;&gt;"")*($F$9:$F$38&lt;=C125))+1,$G$9:$G$38,0)))</f>
        <v/>
      </c>
      <c r="F125" s="40">
        <f>IF(C125&gt;=TotalStations,0,IF(OR(B125="Dédié",$B$3="Plein temps (7h)"),MIN(FLOOR(420/E125,1),TotalStations-C125),MIN(VALUE($B$3),TotalStations-C125)))</f>
        <v/>
      </c>
      <c r="G125" s="38" t="n"/>
      <c r="H125" s="40">
        <f>IF(G125="","",G125-F125)</f>
        <v/>
      </c>
      <c r="I125" s="40">
        <f>SUM($H$48:H125)</f>
        <v/>
      </c>
      <c r="J125" s="40">
        <f>C125+F125</f>
        <v/>
      </c>
    </row>
    <row r="126" hidden="1" outlineLevel="1" ht="15" customHeight="1" s="18">
      <c r="A126" s="44" t="n">
        <v>46373</v>
      </c>
      <c r="B126" s="45" t="inlineStr">
        <is>
          <t>Normal</t>
        </is>
      </c>
      <c r="C126" s="40">
        <f>C125+IF(G125="",F125,G125)</f>
        <v/>
      </c>
      <c r="D126" s="40">
        <f>IF(C126&gt;=TotalStations,"Terminé",INDEX($A$9:$A$38,MATCH(SUMPRODUCT(($A$9:$A$38&lt;&gt;"")*($F$9:$F$38&lt;=C126))+1,$G$9:$G$38,0)))</f>
        <v/>
      </c>
      <c r="E126" s="40">
        <f>IF(C126&gt;=TotalStations,"",INDEX($C$9:$C$38,MATCH(SUMPRODUCT(($A$9:$A$38&lt;&gt;"")*($F$9:$F$38&lt;=C126))+1,$G$9:$G$38,0)))</f>
        <v/>
      </c>
      <c r="F126" s="40">
        <f>IF(C126&gt;=TotalStations,0,IF(OR(B126="Dédié",$B$3="Plein temps (7h)"),MIN(FLOOR(420/E126,1),TotalStations-C126),MIN(VALUE($B$3),TotalStations-C126)))</f>
        <v/>
      </c>
      <c r="G126" s="38" t="n"/>
      <c r="H126" s="40">
        <f>IF(G126="","",G126-F126)</f>
        <v/>
      </c>
      <c r="I126" s="40">
        <f>SUM($H$48:H126)</f>
        <v/>
      </c>
      <c r="J126" s="40">
        <f>C126+F126</f>
        <v/>
      </c>
    </row>
    <row r="127" hidden="1" outlineLevel="1" ht="15" customHeight="1" s="18">
      <c r="A127" s="44" t="n">
        <v>46374</v>
      </c>
      <c r="B127" s="45" t="inlineStr">
        <is>
          <t>Normal</t>
        </is>
      </c>
      <c r="C127" s="40">
        <f>C126+IF(G126="",F126,G126)</f>
        <v/>
      </c>
      <c r="D127" s="40">
        <f>IF(C127&gt;=TotalStations,"Terminé",INDEX($A$9:$A$38,MATCH(SUMPRODUCT(($A$9:$A$38&lt;&gt;"")*($F$9:$F$38&lt;=C127))+1,$G$9:$G$38,0)))</f>
        <v/>
      </c>
      <c r="E127" s="40">
        <f>IF(C127&gt;=TotalStations,"",INDEX($C$9:$C$38,MATCH(SUMPRODUCT(($A$9:$A$38&lt;&gt;"")*($F$9:$F$38&lt;=C127))+1,$G$9:$G$38,0)))</f>
        <v/>
      </c>
      <c r="F127" s="40">
        <f>IF(C127&gt;=TotalStations,0,IF(OR(B127="Dédié",$B$3="Plein temps (7h)"),MIN(FLOOR(420/E127,1),TotalStations-C127),MIN(VALUE($B$3),TotalStations-C127)))</f>
        <v/>
      </c>
      <c r="G127" s="38" t="n"/>
      <c r="H127" s="40">
        <f>IF(G127="","",G127-F127)</f>
        <v/>
      </c>
      <c r="I127" s="40">
        <f>SUM($H$48:H127)</f>
        <v/>
      </c>
      <c r="J127" s="40">
        <f>C127+F127</f>
        <v/>
      </c>
    </row>
    <row r="128" hidden="1" outlineLevel="1" ht="15" customHeight="1" s="18">
      <c r="A128" s="44" t="n">
        <v>46377</v>
      </c>
      <c r="B128" s="45" t="inlineStr">
        <is>
          <t>Normal</t>
        </is>
      </c>
      <c r="C128" s="40">
        <f>C127+IF(G127="",F127,G127)</f>
        <v/>
      </c>
      <c r="D128" s="40">
        <f>IF(C128&gt;=TotalStations,"Terminé",INDEX($A$9:$A$38,MATCH(SUMPRODUCT(($A$9:$A$38&lt;&gt;"")*($F$9:$F$38&lt;=C128))+1,$G$9:$G$38,0)))</f>
        <v/>
      </c>
      <c r="E128" s="40">
        <f>IF(C128&gt;=TotalStations,"",INDEX($C$9:$C$38,MATCH(SUMPRODUCT(($A$9:$A$38&lt;&gt;"")*($F$9:$F$38&lt;=C128))+1,$G$9:$G$38,0)))</f>
        <v/>
      </c>
      <c r="F128" s="40">
        <f>IF(C128&gt;=TotalStations,0,IF(OR(B128="Dédié",$B$3="Plein temps (7h)"),MIN(FLOOR(420/E128,1),TotalStations-C128),MIN(VALUE($B$3),TotalStations-C128)))</f>
        <v/>
      </c>
      <c r="G128" s="38" t="n"/>
      <c r="H128" s="40">
        <f>IF(G128="","",G128-F128)</f>
        <v/>
      </c>
      <c r="I128" s="40">
        <f>SUM($H$48:H128)</f>
        <v/>
      </c>
      <c r="J128" s="40">
        <f>C128+F128</f>
        <v/>
      </c>
    </row>
    <row r="129" hidden="1" outlineLevel="1" ht="15" customHeight="1" s="18">
      <c r="A129" s="44" t="n">
        <v>46378</v>
      </c>
      <c r="B129" s="45" t="inlineStr">
        <is>
          <t>Normal</t>
        </is>
      </c>
      <c r="C129" s="40">
        <f>C128+IF(G128="",F128,G128)</f>
        <v/>
      </c>
      <c r="D129" s="40">
        <f>IF(C129&gt;=TotalStations,"Terminé",INDEX($A$9:$A$38,MATCH(SUMPRODUCT(($A$9:$A$38&lt;&gt;"")*($F$9:$F$38&lt;=C129))+1,$G$9:$G$38,0)))</f>
        <v/>
      </c>
      <c r="E129" s="40">
        <f>IF(C129&gt;=TotalStations,"",INDEX($C$9:$C$38,MATCH(SUMPRODUCT(($A$9:$A$38&lt;&gt;"")*($F$9:$F$38&lt;=C129))+1,$G$9:$G$38,0)))</f>
        <v/>
      </c>
      <c r="F129" s="40">
        <f>IF(C129&gt;=TotalStations,0,IF(OR(B129="Dédié",$B$3="Plein temps (7h)"),MIN(FLOOR(420/E129,1),TotalStations-C129),MIN(VALUE($B$3),TotalStations-C129)))</f>
        <v/>
      </c>
      <c r="G129" s="38" t="n"/>
      <c r="H129" s="40">
        <f>IF(G129="","",G129-F129)</f>
        <v/>
      </c>
      <c r="I129" s="40">
        <f>SUM($H$48:H129)</f>
        <v/>
      </c>
      <c r="J129" s="40">
        <f>C129+F129</f>
        <v/>
      </c>
    </row>
    <row r="130" hidden="1" outlineLevel="1" ht="15" customHeight="1" s="18">
      <c r="A130" s="44" t="n">
        <v>46379</v>
      </c>
      <c r="B130" s="45" t="inlineStr">
        <is>
          <t>Normal</t>
        </is>
      </c>
      <c r="C130" s="40">
        <f>C129+IF(G129="",F129,G129)</f>
        <v/>
      </c>
      <c r="D130" s="40">
        <f>IF(C130&gt;=TotalStations,"Terminé",INDEX($A$9:$A$38,MATCH(SUMPRODUCT(($A$9:$A$38&lt;&gt;"")*($F$9:$F$38&lt;=C130))+1,$G$9:$G$38,0)))</f>
        <v/>
      </c>
      <c r="E130" s="40">
        <f>IF(C130&gt;=TotalStations,"",INDEX($C$9:$C$38,MATCH(SUMPRODUCT(($A$9:$A$38&lt;&gt;"")*($F$9:$F$38&lt;=C130))+1,$G$9:$G$38,0)))</f>
        <v/>
      </c>
      <c r="F130" s="40">
        <f>IF(C130&gt;=TotalStations,0,IF(OR(B130="Dédié",$B$3="Plein temps (7h)"),MIN(FLOOR(420/E130,1),TotalStations-C130),MIN(VALUE($B$3),TotalStations-C130)))</f>
        <v/>
      </c>
      <c r="G130" s="38" t="n"/>
      <c r="H130" s="40">
        <f>IF(G130="","",G130-F130)</f>
        <v/>
      </c>
      <c r="I130" s="40">
        <f>SUM($H$48:H130)</f>
        <v/>
      </c>
      <c r="J130" s="40">
        <f>C130+F130</f>
        <v/>
      </c>
    </row>
    <row r="131" hidden="1" outlineLevel="1" ht="15" customHeight="1" s="18">
      <c r="A131" s="44" t="n">
        <v>46380</v>
      </c>
      <c r="B131" s="45" t="inlineStr">
        <is>
          <t>Normal</t>
        </is>
      </c>
      <c r="C131" s="40">
        <f>C130+IF(G130="",F130,G130)</f>
        <v/>
      </c>
      <c r="D131" s="40">
        <f>IF(C131&gt;=TotalStations,"Terminé",INDEX($A$9:$A$38,MATCH(SUMPRODUCT(($A$9:$A$38&lt;&gt;"")*($F$9:$F$38&lt;=C131))+1,$G$9:$G$38,0)))</f>
        <v/>
      </c>
      <c r="E131" s="40">
        <f>IF(C131&gt;=TotalStations,"",INDEX($C$9:$C$38,MATCH(SUMPRODUCT(($A$9:$A$38&lt;&gt;"")*($F$9:$F$38&lt;=C131))+1,$G$9:$G$38,0)))</f>
        <v/>
      </c>
      <c r="F131" s="40">
        <f>IF(C131&gt;=TotalStations,0,IF(OR(B131="Dédié",$B$3="Plein temps (7h)"),MIN(FLOOR(420/E131,1),TotalStations-C131),MIN(VALUE($B$3),TotalStations-C131)))</f>
        <v/>
      </c>
      <c r="G131" s="38" t="n"/>
      <c r="H131" s="40">
        <f>IF(G131="","",G131-F131)</f>
        <v/>
      </c>
      <c r="I131" s="40">
        <f>SUM($H$48:H131)</f>
        <v/>
      </c>
      <c r="J131" s="40">
        <f>C131+F131</f>
        <v/>
      </c>
    </row>
    <row r="132" hidden="1" outlineLevel="1" ht="15" customHeight="1" s="18">
      <c r="A132" s="44" t="n">
        <v>46381</v>
      </c>
      <c r="B132" s="45" t="inlineStr">
        <is>
          <t>Normal</t>
        </is>
      </c>
      <c r="C132" s="40">
        <f>C131+IF(G131="",F131,G131)</f>
        <v/>
      </c>
      <c r="D132" s="40">
        <f>IF(C132&gt;=TotalStations,"Terminé",INDEX($A$9:$A$38,MATCH(SUMPRODUCT(($A$9:$A$38&lt;&gt;"")*($F$9:$F$38&lt;=C132))+1,$G$9:$G$38,0)))</f>
        <v/>
      </c>
      <c r="E132" s="40">
        <f>IF(C132&gt;=TotalStations,"",INDEX($C$9:$C$38,MATCH(SUMPRODUCT(($A$9:$A$38&lt;&gt;"")*($F$9:$F$38&lt;=C132))+1,$G$9:$G$38,0)))</f>
        <v/>
      </c>
      <c r="F132" s="40">
        <f>IF(C132&gt;=TotalStations,0,IF(OR(B132="Dédié",$B$3="Plein temps (7h)"),MIN(FLOOR(420/E132,1),TotalStations-C132),MIN(VALUE($B$3),TotalStations-C132)))</f>
        <v/>
      </c>
      <c r="G132" s="38" t="n"/>
      <c r="H132" s="40">
        <f>IF(G132="","",G132-F132)</f>
        <v/>
      </c>
      <c r="I132" s="40">
        <f>SUM($H$48:H132)</f>
        <v/>
      </c>
      <c r="J132" s="40">
        <f>C132+F132</f>
        <v/>
      </c>
    </row>
    <row r="133" hidden="1" outlineLevel="1" ht="15" customHeight="1" s="18">
      <c r="A133" s="44" t="n">
        <v>46384</v>
      </c>
      <c r="B133" s="45" t="inlineStr">
        <is>
          <t>Normal</t>
        </is>
      </c>
      <c r="C133" s="40">
        <f>C132+IF(G132="",F132,G132)</f>
        <v/>
      </c>
      <c r="D133" s="40">
        <f>IF(C133&gt;=TotalStations,"Terminé",INDEX($A$9:$A$38,MATCH(SUMPRODUCT(($A$9:$A$38&lt;&gt;"")*($F$9:$F$38&lt;=C133))+1,$G$9:$G$38,0)))</f>
        <v/>
      </c>
      <c r="E133" s="40">
        <f>IF(C133&gt;=TotalStations,"",INDEX($C$9:$C$38,MATCH(SUMPRODUCT(($A$9:$A$38&lt;&gt;"")*($F$9:$F$38&lt;=C133))+1,$G$9:$G$38,0)))</f>
        <v/>
      </c>
      <c r="F133" s="40">
        <f>IF(C133&gt;=TotalStations,0,IF(OR(B133="Dédié",$B$3="Plein temps (7h)"),MIN(FLOOR(420/E133,1),TotalStations-C133),MIN(VALUE($B$3),TotalStations-C133)))</f>
        <v/>
      </c>
      <c r="G133" s="38" t="n"/>
      <c r="H133" s="40">
        <f>IF(G133="","",G133-F133)</f>
        <v/>
      </c>
      <c r="I133" s="40">
        <f>SUM($H$48:H133)</f>
        <v/>
      </c>
      <c r="J133" s="40">
        <f>C133+F133</f>
        <v/>
      </c>
    </row>
    <row r="134" hidden="1" outlineLevel="1" ht="15" customHeight="1" s="18">
      <c r="A134" s="44" t="n">
        <v>46385</v>
      </c>
      <c r="B134" s="45" t="inlineStr">
        <is>
          <t>Normal</t>
        </is>
      </c>
      <c r="C134" s="40">
        <f>C133+IF(G133="",F133,G133)</f>
        <v/>
      </c>
      <c r="D134" s="40">
        <f>IF(C134&gt;=TotalStations,"Terminé",INDEX($A$9:$A$38,MATCH(SUMPRODUCT(($A$9:$A$38&lt;&gt;"")*($F$9:$F$38&lt;=C134))+1,$G$9:$G$38,0)))</f>
        <v/>
      </c>
      <c r="E134" s="40">
        <f>IF(C134&gt;=TotalStations,"",INDEX($C$9:$C$38,MATCH(SUMPRODUCT(($A$9:$A$38&lt;&gt;"")*($F$9:$F$38&lt;=C134))+1,$G$9:$G$38,0)))</f>
        <v/>
      </c>
      <c r="F134" s="40">
        <f>IF(C134&gt;=TotalStations,0,IF(OR(B134="Dédié",$B$3="Plein temps (7h)"),MIN(FLOOR(420/E134,1),TotalStations-C134),MIN(VALUE($B$3),TotalStations-C134)))</f>
        <v/>
      </c>
      <c r="G134" s="38" t="n"/>
      <c r="H134" s="40">
        <f>IF(G134="","",G134-F134)</f>
        <v/>
      </c>
      <c r="I134" s="40">
        <f>SUM($H$48:H134)</f>
        <v/>
      </c>
      <c r="J134" s="40">
        <f>C134+F134</f>
        <v/>
      </c>
    </row>
    <row r="135" hidden="1" outlineLevel="1" ht="15" customHeight="1" s="18">
      <c r="A135" s="44" t="n">
        <v>46386</v>
      </c>
      <c r="B135" s="45" t="inlineStr">
        <is>
          <t>Normal</t>
        </is>
      </c>
      <c r="C135" s="40">
        <f>C134+IF(G134="",F134,G134)</f>
        <v/>
      </c>
      <c r="D135" s="40">
        <f>IF(C135&gt;=TotalStations,"Terminé",INDEX($A$9:$A$38,MATCH(SUMPRODUCT(($A$9:$A$38&lt;&gt;"")*($F$9:$F$38&lt;=C135))+1,$G$9:$G$38,0)))</f>
        <v/>
      </c>
      <c r="E135" s="40">
        <f>IF(C135&gt;=TotalStations,"",INDEX($C$9:$C$38,MATCH(SUMPRODUCT(($A$9:$A$38&lt;&gt;"")*($F$9:$F$38&lt;=C135))+1,$G$9:$G$38,0)))</f>
        <v/>
      </c>
      <c r="F135" s="40">
        <f>IF(C135&gt;=TotalStations,0,IF(OR(B135="Dédié",$B$3="Plein temps (7h)"),MIN(FLOOR(420/E135,1),TotalStations-C135),MIN(VALUE($B$3),TotalStations-C135)))</f>
        <v/>
      </c>
      <c r="G135" s="38" t="n"/>
      <c r="H135" s="40">
        <f>IF(G135="","",G135-F135)</f>
        <v/>
      </c>
      <c r="I135" s="40">
        <f>SUM($H$48:H135)</f>
        <v/>
      </c>
      <c r="J135" s="40">
        <f>C135+F135</f>
        <v/>
      </c>
    </row>
    <row r="136" hidden="1" outlineLevel="1" ht="15" customHeight="1" s="18">
      <c r="A136" s="44" t="n">
        <v>46387</v>
      </c>
      <c r="B136" s="45" t="inlineStr">
        <is>
          <t>Normal</t>
        </is>
      </c>
      <c r="C136" s="40">
        <f>C135+IF(G135="",F135,G135)</f>
        <v/>
      </c>
      <c r="D136" s="40">
        <f>IF(C136&gt;=TotalStations,"Terminé",INDEX($A$9:$A$38,MATCH(SUMPRODUCT(($A$9:$A$38&lt;&gt;"")*($F$9:$F$38&lt;=C136))+1,$G$9:$G$38,0)))</f>
        <v/>
      </c>
      <c r="E136" s="40">
        <f>IF(C136&gt;=TotalStations,"",INDEX($C$9:$C$38,MATCH(SUMPRODUCT(($A$9:$A$38&lt;&gt;"")*($F$9:$F$38&lt;=C136))+1,$G$9:$G$38,0)))</f>
        <v/>
      </c>
      <c r="F136" s="40">
        <f>IF(C136&gt;=TotalStations,0,IF(OR(B136="Dédié",$B$3="Plein temps (7h)"),MIN(FLOOR(420/E136,1),TotalStations-C136),MIN(VALUE($B$3),TotalStations-C136)))</f>
        <v/>
      </c>
      <c r="G136" s="38" t="n"/>
      <c r="H136" s="40">
        <f>IF(G136="","",G136-F136)</f>
        <v/>
      </c>
      <c r="I136" s="40">
        <f>SUM($H$48:H136)</f>
        <v/>
      </c>
      <c r="J136" s="40">
        <f>C136+F136</f>
        <v/>
      </c>
    </row>
    <row r="137" hidden="1" outlineLevel="1" ht="15" customHeight="1" s="18">
      <c r="A137" s="44" t="n">
        <v>46388</v>
      </c>
      <c r="B137" s="45" t="inlineStr">
        <is>
          <t>Normal</t>
        </is>
      </c>
      <c r="C137" s="40">
        <f>C136+IF(G136="",F136,G136)</f>
        <v/>
      </c>
      <c r="D137" s="40">
        <f>IF(C137&gt;=TotalStations,"Terminé",INDEX($A$9:$A$38,MATCH(SUMPRODUCT(($A$9:$A$38&lt;&gt;"")*($F$9:$F$38&lt;=C137))+1,$G$9:$G$38,0)))</f>
        <v/>
      </c>
      <c r="E137" s="40">
        <f>IF(C137&gt;=TotalStations,"",INDEX($C$9:$C$38,MATCH(SUMPRODUCT(($A$9:$A$38&lt;&gt;"")*($F$9:$F$38&lt;=C137))+1,$G$9:$G$38,0)))</f>
        <v/>
      </c>
      <c r="F137" s="40">
        <f>IF(C137&gt;=TotalStations,0,IF(OR(B137="Dédié",$B$3="Plein temps (7h)"),MIN(FLOOR(420/E137,1),TotalStations-C137),MIN(VALUE($B$3),TotalStations-C137)))</f>
        <v/>
      </c>
      <c r="G137" s="38" t="n"/>
      <c r="H137" s="40">
        <f>IF(G137="","",G137-F137)</f>
        <v/>
      </c>
      <c r="I137" s="40">
        <f>SUM($H$48:H137)</f>
        <v/>
      </c>
      <c r="J137" s="40">
        <f>C137+F137</f>
        <v/>
      </c>
    </row>
    <row r="138" hidden="1" outlineLevel="1" ht="15" customHeight="1" s="18">
      <c r="A138" s="44" t="n">
        <v>46391</v>
      </c>
      <c r="B138" s="45" t="inlineStr">
        <is>
          <t>Normal</t>
        </is>
      </c>
      <c r="C138" s="40">
        <f>C137+IF(G137="",F137,G137)</f>
        <v/>
      </c>
      <c r="D138" s="40">
        <f>IF(C138&gt;=TotalStations,"Terminé",INDEX($A$9:$A$38,MATCH(SUMPRODUCT(($A$9:$A$38&lt;&gt;"")*($F$9:$F$38&lt;=C138))+1,$G$9:$G$38,0)))</f>
        <v/>
      </c>
      <c r="E138" s="40">
        <f>IF(C138&gt;=TotalStations,"",INDEX($C$9:$C$38,MATCH(SUMPRODUCT(($A$9:$A$38&lt;&gt;"")*($F$9:$F$38&lt;=C138))+1,$G$9:$G$38,0)))</f>
        <v/>
      </c>
      <c r="F138" s="40">
        <f>IF(C138&gt;=TotalStations,0,IF(OR(B138="Dédié",$B$3="Plein temps (7h)"),MIN(FLOOR(420/E138,1),TotalStations-C138),MIN(VALUE($B$3),TotalStations-C138)))</f>
        <v/>
      </c>
      <c r="G138" s="38" t="n"/>
      <c r="H138" s="40">
        <f>IF(G138="","",G138-F138)</f>
        <v/>
      </c>
      <c r="I138" s="40">
        <f>SUM($H$48:H138)</f>
        <v/>
      </c>
      <c r="J138" s="40">
        <f>C138+F138</f>
        <v/>
      </c>
    </row>
    <row r="139" hidden="1" outlineLevel="1" ht="15" customHeight="1" s="18">
      <c r="A139" s="44" t="n">
        <v>46392</v>
      </c>
      <c r="B139" s="45" t="inlineStr">
        <is>
          <t>Normal</t>
        </is>
      </c>
      <c r="C139" s="40">
        <f>C138+IF(G138="",F138,G138)</f>
        <v/>
      </c>
      <c r="D139" s="40">
        <f>IF(C139&gt;=TotalStations,"Terminé",INDEX($A$9:$A$38,MATCH(SUMPRODUCT(($A$9:$A$38&lt;&gt;"")*($F$9:$F$38&lt;=C139))+1,$G$9:$G$38,0)))</f>
        <v/>
      </c>
      <c r="E139" s="40">
        <f>IF(C139&gt;=TotalStations,"",INDEX($C$9:$C$38,MATCH(SUMPRODUCT(($A$9:$A$38&lt;&gt;"")*($F$9:$F$38&lt;=C139))+1,$G$9:$G$38,0)))</f>
        <v/>
      </c>
      <c r="F139" s="40">
        <f>IF(C139&gt;=TotalStations,0,IF(OR(B139="Dédié",$B$3="Plein temps (7h)"),MIN(FLOOR(420/E139,1),TotalStations-C139),MIN(VALUE($B$3),TotalStations-C139)))</f>
        <v/>
      </c>
      <c r="G139" s="38" t="n"/>
      <c r="H139" s="40">
        <f>IF(G139="","",G139-F139)</f>
        <v/>
      </c>
      <c r="I139" s="40">
        <f>SUM($H$48:H139)</f>
        <v/>
      </c>
      <c r="J139" s="40">
        <f>C139+F139</f>
        <v/>
      </c>
    </row>
    <row r="140" hidden="1" outlineLevel="1" ht="15" customHeight="1" s="18">
      <c r="A140" s="44" t="n">
        <v>46393</v>
      </c>
      <c r="B140" s="45" t="inlineStr">
        <is>
          <t>Normal</t>
        </is>
      </c>
      <c r="C140" s="40">
        <f>C139+IF(G139="",F139,G139)</f>
        <v/>
      </c>
      <c r="D140" s="40">
        <f>IF(C140&gt;=TotalStations,"Terminé",INDEX($A$9:$A$38,MATCH(SUMPRODUCT(($A$9:$A$38&lt;&gt;"")*($F$9:$F$38&lt;=C140))+1,$G$9:$G$38,0)))</f>
        <v/>
      </c>
      <c r="E140" s="40">
        <f>IF(C140&gt;=TotalStations,"",INDEX($C$9:$C$38,MATCH(SUMPRODUCT(($A$9:$A$38&lt;&gt;"")*($F$9:$F$38&lt;=C140))+1,$G$9:$G$38,0)))</f>
        <v/>
      </c>
      <c r="F140" s="40">
        <f>IF(C140&gt;=TotalStations,0,IF(OR(B140="Dédié",$B$3="Plein temps (7h)"),MIN(FLOOR(420/E140,1),TotalStations-C140),MIN(VALUE($B$3),TotalStations-C140)))</f>
        <v/>
      </c>
      <c r="G140" s="38" t="n"/>
      <c r="H140" s="40">
        <f>IF(G140="","",G140-F140)</f>
        <v/>
      </c>
      <c r="I140" s="40">
        <f>SUM($H$48:H140)</f>
        <v/>
      </c>
      <c r="J140" s="40">
        <f>C140+F140</f>
        <v/>
      </c>
    </row>
    <row r="141" hidden="1" outlineLevel="1" ht="15" customHeight="1" s="18">
      <c r="A141" s="44" t="n">
        <v>46394</v>
      </c>
      <c r="B141" s="45" t="inlineStr">
        <is>
          <t>Normal</t>
        </is>
      </c>
      <c r="C141" s="40">
        <f>C140+IF(G140="",F140,G140)</f>
        <v/>
      </c>
      <c r="D141" s="40">
        <f>IF(C141&gt;=TotalStations,"Terminé",INDEX($A$9:$A$38,MATCH(SUMPRODUCT(($A$9:$A$38&lt;&gt;"")*($F$9:$F$38&lt;=C141))+1,$G$9:$G$38,0)))</f>
        <v/>
      </c>
      <c r="E141" s="40">
        <f>IF(C141&gt;=TotalStations,"",INDEX($C$9:$C$38,MATCH(SUMPRODUCT(($A$9:$A$38&lt;&gt;"")*($F$9:$F$38&lt;=C141))+1,$G$9:$G$38,0)))</f>
        <v/>
      </c>
      <c r="F141" s="40">
        <f>IF(C141&gt;=TotalStations,0,IF(OR(B141="Dédié",$B$3="Plein temps (7h)"),MIN(FLOOR(420/E141,1),TotalStations-C141),MIN(VALUE($B$3),TotalStations-C141)))</f>
        <v/>
      </c>
      <c r="G141" s="38" t="n"/>
      <c r="H141" s="40">
        <f>IF(G141="","",G141-F141)</f>
        <v/>
      </c>
      <c r="I141" s="40">
        <f>SUM($H$48:H141)</f>
        <v/>
      </c>
      <c r="J141" s="40">
        <f>C141+F141</f>
        <v/>
      </c>
    </row>
    <row r="142" hidden="1" outlineLevel="1" ht="15" customHeight="1" s="18">
      <c r="A142" s="44" t="n">
        <v>46395</v>
      </c>
      <c r="B142" s="45" t="inlineStr">
        <is>
          <t>Normal</t>
        </is>
      </c>
      <c r="C142" s="40">
        <f>C141+IF(G141="",F141,G141)</f>
        <v/>
      </c>
      <c r="D142" s="40">
        <f>IF(C142&gt;=TotalStations,"Terminé",INDEX($A$9:$A$38,MATCH(SUMPRODUCT(($A$9:$A$38&lt;&gt;"")*($F$9:$F$38&lt;=C142))+1,$G$9:$G$38,0)))</f>
        <v/>
      </c>
      <c r="E142" s="40">
        <f>IF(C142&gt;=TotalStations,"",INDEX($C$9:$C$38,MATCH(SUMPRODUCT(($A$9:$A$38&lt;&gt;"")*($F$9:$F$38&lt;=C142))+1,$G$9:$G$38,0)))</f>
        <v/>
      </c>
      <c r="F142" s="40">
        <f>IF(C142&gt;=TotalStations,0,IF(OR(B142="Dédié",$B$3="Plein temps (7h)"),MIN(FLOOR(420/E142,1),TotalStations-C142),MIN(VALUE($B$3),TotalStations-C142)))</f>
        <v/>
      </c>
      <c r="G142" s="38" t="n"/>
      <c r="H142" s="40">
        <f>IF(G142="","",G142-F142)</f>
        <v/>
      </c>
      <c r="I142" s="40">
        <f>SUM($H$48:H142)</f>
        <v/>
      </c>
      <c r="J142" s="40">
        <f>C142+F142</f>
        <v/>
      </c>
    </row>
    <row r="143" hidden="1" outlineLevel="1" ht="15" customHeight="1" s="18">
      <c r="A143" s="44" t="n">
        <v>46398</v>
      </c>
      <c r="B143" s="45" t="inlineStr">
        <is>
          <t>Normal</t>
        </is>
      </c>
      <c r="C143" s="40">
        <f>C142+IF(G142="",F142,G142)</f>
        <v/>
      </c>
      <c r="D143" s="40">
        <f>IF(C143&gt;=TotalStations,"Terminé",INDEX($A$9:$A$38,MATCH(SUMPRODUCT(($A$9:$A$38&lt;&gt;"")*($F$9:$F$38&lt;=C143))+1,$G$9:$G$38,0)))</f>
        <v/>
      </c>
      <c r="E143" s="40">
        <f>IF(C143&gt;=TotalStations,"",INDEX($C$9:$C$38,MATCH(SUMPRODUCT(($A$9:$A$38&lt;&gt;"")*($F$9:$F$38&lt;=C143))+1,$G$9:$G$38,0)))</f>
        <v/>
      </c>
      <c r="F143" s="40">
        <f>IF(C143&gt;=TotalStations,0,IF(OR(B143="Dédié",$B$3="Plein temps (7h)"),MIN(FLOOR(420/E143,1),TotalStations-C143),MIN(VALUE($B$3),TotalStations-C143)))</f>
        <v/>
      </c>
      <c r="G143" s="38" t="n"/>
      <c r="H143" s="40">
        <f>IF(G143="","",G143-F143)</f>
        <v/>
      </c>
      <c r="I143" s="40">
        <f>SUM($H$48:H143)</f>
        <v/>
      </c>
      <c r="J143" s="40">
        <f>C143+F143</f>
        <v/>
      </c>
    </row>
    <row r="144" hidden="1" outlineLevel="1" ht="15" customHeight="1" s="18">
      <c r="A144" s="44" t="n">
        <v>46399</v>
      </c>
      <c r="B144" s="45" t="inlineStr">
        <is>
          <t>Normal</t>
        </is>
      </c>
      <c r="C144" s="40">
        <f>C143+IF(G143="",F143,G143)</f>
        <v/>
      </c>
      <c r="D144" s="40">
        <f>IF(C144&gt;=TotalStations,"Terminé",INDEX($A$9:$A$38,MATCH(SUMPRODUCT(($A$9:$A$38&lt;&gt;"")*($F$9:$F$38&lt;=C144))+1,$G$9:$G$38,0)))</f>
        <v/>
      </c>
      <c r="E144" s="40">
        <f>IF(C144&gt;=TotalStations,"",INDEX($C$9:$C$38,MATCH(SUMPRODUCT(($A$9:$A$38&lt;&gt;"")*($F$9:$F$38&lt;=C144))+1,$G$9:$G$38,0)))</f>
        <v/>
      </c>
      <c r="F144" s="40">
        <f>IF(C144&gt;=TotalStations,0,IF(OR(B144="Dédié",$B$3="Plein temps (7h)"),MIN(FLOOR(420/E144,1),TotalStations-C144),MIN(VALUE($B$3),TotalStations-C144)))</f>
        <v/>
      </c>
      <c r="G144" s="38" t="n"/>
      <c r="H144" s="40">
        <f>IF(G144="","",G144-F144)</f>
        <v/>
      </c>
      <c r="I144" s="40">
        <f>SUM($H$48:H144)</f>
        <v/>
      </c>
      <c r="J144" s="40">
        <f>C144+F144</f>
        <v/>
      </c>
    </row>
    <row r="145" hidden="1" outlineLevel="1" ht="15" customHeight="1" s="18">
      <c r="A145" s="44" t="n">
        <v>46400</v>
      </c>
      <c r="B145" s="45" t="inlineStr">
        <is>
          <t>Normal</t>
        </is>
      </c>
      <c r="C145" s="40">
        <f>C144+IF(G144="",F144,G144)</f>
        <v/>
      </c>
      <c r="D145" s="40">
        <f>IF(C145&gt;=TotalStations,"Terminé",INDEX($A$9:$A$38,MATCH(SUMPRODUCT(($A$9:$A$38&lt;&gt;"")*($F$9:$F$38&lt;=C145))+1,$G$9:$G$38,0)))</f>
        <v/>
      </c>
      <c r="E145" s="40">
        <f>IF(C145&gt;=TotalStations,"",INDEX($C$9:$C$38,MATCH(SUMPRODUCT(($A$9:$A$38&lt;&gt;"")*($F$9:$F$38&lt;=C145))+1,$G$9:$G$38,0)))</f>
        <v/>
      </c>
      <c r="F145" s="40">
        <f>IF(C145&gt;=TotalStations,0,IF(OR(B145="Dédié",$B$3="Plein temps (7h)"),MIN(FLOOR(420/E145,1),TotalStations-C145),MIN(VALUE($B$3),TotalStations-C145)))</f>
        <v/>
      </c>
      <c r="G145" s="38" t="n"/>
      <c r="H145" s="40">
        <f>IF(G145="","",G145-F145)</f>
        <v/>
      </c>
      <c r="I145" s="40">
        <f>SUM($H$48:H145)</f>
        <v/>
      </c>
      <c r="J145" s="40">
        <f>C145+F145</f>
        <v/>
      </c>
    </row>
    <row r="146" hidden="1" outlineLevel="1" ht="15" customHeight="1" s="18">
      <c r="A146" s="44" t="n">
        <v>46401</v>
      </c>
      <c r="B146" s="45" t="inlineStr">
        <is>
          <t>Normal</t>
        </is>
      </c>
      <c r="C146" s="40">
        <f>C145+IF(G145="",F145,G145)</f>
        <v/>
      </c>
      <c r="D146" s="40">
        <f>IF(C146&gt;=TotalStations,"Terminé",INDEX($A$9:$A$38,MATCH(SUMPRODUCT(($A$9:$A$38&lt;&gt;"")*($F$9:$F$38&lt;=C146))+1,$G$9:$G$38,0)))</f>
        <v/>
      </c>
      <c r="E146" s="40">
        <f>IF(C146&gt;=TotalStations,"",INDEX($C$9:$C$38,MATCH(SUMPRODUCT(($A$9:$A$38&lt;&gt;"")*($F$9:$F$38&lt;=C146))+1,$G$9:$G$38,0)))</f>
        <v/>
      </c>
      <c r="F146" s="40">
        <f>IF(C146&gt;=TotalStations,0,IF(OR(B146="Dédié",$B$3="Plein temps (7h)"),MIN(FLOOR(420/E146,1),TotalStations-C146),MIN(VALUE($B$3),TotalStations-C146)))</f>
        <v/>
      </c>
      <c r="G146" s="38" t="n"/>
      <c r="H146" s="40">
        <f>IF(G146="","",G146-F146)</f>
        <v/>
      </c>
      <c r="I146" s="40">
        <f>SUM($H$48:H146)</f>
        <v/>
      </c>
      <c r="J146" s="40">
        <f>C146+F146</f>
        <v/>
      </c>
    </row>
    <row r="147" hidden="1" outlineLevel="1" ht="15" customHeight="1" s="18">
      <c r="A147" s="44" t="n">
        <v>46402</v>
      </c>
      <c r="B147" s="45" t="inlineStr">
        <is>
          <t>Normal</t>
        </is>
      </c>
      <c r="C147" s="40">
        <f>C146+IF(G146="",F146,G146)</f>
        <v/>
      </c>
      <c r="D147" s="40">
        <f>IF(C147&gt;=TotalStations,"Terminé",INDEX($A$9:$A$38,MATCH(SUMPRODUCT(($A$9:$A$38&lt;&gt;"")*($F$9:$F$38&lt;=C147))+1,$G$9:$G$38,0)))</f>
        <v/>
      </c>
      <c r="E147" s="40">
        <f>IF(C147&gt;=TotalStations,"",INDEX($C$9:$C$38,MATCH(SUMPRODUCT(($A$9:$A$38&lt;&gt;"")*($F$9:$F$38&lt;=C147))+1,$G$9:$G$38,0)))</f>
        <v/>
      </c>
      <c r="F147" s="40">
        <f>IF(C147&gt;=TotalStations,0,IF(OR(B147="Dédié",$B$3="Plein temps (7h)"),MIN(FLOOR(420/E147,1),TotalStations-C147),MIN(VALUE($B$3),TotalStations-C147)))</f>
        <v/>
      </c>
      <c r="G147" s="38" t="n"/>
      <c r="H147" s="40">
        <f>IF(G147="","",G147-F147)</f>
        <v/>
      </c>
      <c r="I147" s="40">
        <f>SUM($H$48:H147)</f>
        <v/>
      </c>
      <c r="J147" s="40">
        <f>C147+F147</f>
        <v/>
      </c>
    </row>
    <row r="148" hidden="1" outlineLevel="1" ht="15" customHeight="1" s="18">
      <c r="A148" s="44" t="n">
        <v>46405</v>
      </c>
      <c r="B148" s="45" t="inlineStr">
        <is>
          <t>Normal</t>
        </is>
      </c>
      <c r="C148" s="40">
        <f>C147+IF(G147="",F147,G147)</f>
        <v/>
      </c>
      <c r="D148" s="40">
        <f>IF(C148&gt;=TotalStations,"Terminé",INDEX($A$9:$A$38,MATCH(SUMPRODUCT(($A$9:$A$38&lt;&gt;"")*($F$9:$F$38&lt;=C148))+1,$G$9:$G$38,0)))</f>
        <v/>
      </c>
      <c r="E148" s="40">
        <f>IF(C148&gt;=TotalStations,"",INDEX($C$9:$C$38,MATCH(SUMPRODUCT(($A$9:$A$38&lt;&gt;"")*($F$9:$F$38&lt;=C148))+1,$G$9:$G$38,0)))</f>
        <v/>
      </c>
      <c r="F148" s="40">
        <f>IF(C148&gt;=TotalStations,0,IF(OR(B148="Dédié",$B$3="Plein temps (7h)"),MIN(FLOOR(420/E148,1),TotalStations-C148),MIN(VALUE($B$3),TotalStations-C148)))</f>
        <v/>
      </c>
      <c r="G148" s="38" t="n"/>
      <c r="H148" s="40">
        <f>IF(G148="","",G148-F148)</f>
        <v/>
      </c>
      <c r="I148" s="40">
        <f>SUM($H$48:H148)</f>
        <v/>
      </c>
      <c r="J148" s="40">
        <f>C148+F148</f>
        <v/>
      </c>
    </row>
    <row r="149" hidden="1" outlineLevel="1" ht="15" customHeight="1" s="18">
      <c r="A149" s="44" t="n">
        <v>46406</v>
      </c>
      <c r="B149" s="45" t="inlineStr">
        <is>
          <t>Normal</t>
        </is>
      </c>
      <c r="C149" s="40">
        <f>C148+IF(G148="",F148,G148)</f>
        <v/>
      </c>
      <c r="D149" s="40">
        <f>IF(C149&gt;=TotalStations,"Terminé",INDEX($A$9:$A$38,MATCH(SUMPRODUCT(($A$9:$A$38&lt;&gt;"")*($F$9:$F$38&lt;=C149))+1,$G$9:$G$38,0)))</f>
        <v/>
      </c>
      <c r="E149" s="40">
        <f>IF(C149&gt;=TotalStations,"",INDEX($C$9:$C$38,MATCH(SUMPRODUCT(($A$9:$A$38&lt;&gt;"")*($F$9:$F$38&lt;=C149))+1,$G$9:$G$38,0)))</f>
        <v/>
      </c>
      <c r="F149" s="40">
        <f>IF(C149&gt;=TotalStations,0,IF(OR(B149="Dédié",$B$3="Plein temps (7h)"),MIN(FLOOR(420/E149,1),TotalStations-C149),MIN(VALUE($B$3),TotalStations-C149)))</f>
        <v/>
      </c>
      <c r="G149" s="38" t="n"/>
      <c r="H149" s="40">
        <f>IF(G149="","",G149-F149)</f>
        <v/>
      </c>
      <c r="I149" s="40">
        <f>SUM($H$48:H149)</f>
        <v/>
      </c>
      <c r="J149" s="40">
        <f>C149+F149</f>
        <v/>
      </c>
    </row>
    <row r="150" hidden="1" outlineLevel="1" ht="15" customHeight="1" s="18">
      <c r="A150" s="44" t="n">
        <v>46407</v>
      </c>
      <c r="B150" s="45" t="inlineStr">
        <is>
          <t>Normal</t>
        </is>
      </c>
      <c r="C150" s="40">
        <f>C149+IF(G149="",F149,G149)</f>
        <v/>
      </c>
      <c r="D150" s="40">
        <f>IF(C150&gt;=TotalStations,"Terminé",INDEX($A$9:$A$38,MATCH(SUMPRODUCT(($A$9:$A$38&lt;&gt;"")*($F$9:$F$38&lt;=C150))+1,$G$9:$G$38,0)))</f>
        <v/>
      </c>
      <c r="E150" s="40">
        <f>IF(C150&gt;=TotalStations,"",INDEX($C$9:$C$38,MATCH(SUMPRODUCT(($A$9:$A$38&lt;&gt;"")*($F$9:$F$38&lt;=C150))+1,$G$9:$G$38,0)))</f>
        <v/>
      </c>
      <c r="F150" s="40">
        <f>IF(C150&gt;=TotalStations,0,IF(OR(B150="Dédié",$B$3="Plein temps (7h)"),MIN(FLOOR(420/E150,1),TotalStations-C150),MIN(VALUE($B$3),TotalStations-C150)))</f>
        <v/>
      </c>
      <c r="G150" s="38" t="n"/>
      <c r="H150" s="40">
        <f>IF(G150="","",G150-F150)</f>
        <v/>
      </c>
      <c r="I150" s="40">
        <f>SUM($H$48:H150)</f>
        <v/>
      </c>
      <c r="J150" s="40">
        <f>C150+F150</f>
        <v/>
      </c>
    </row>
    <row r="151" hidden="1" outlineLevel="1" ht="15" customHeight="1" s="18">
      <c r="A151" s="44" t="n">
        <v>46408</v>
      </c>
      <c r="B151" s="45" t="inlineStr">
        <is>
          <t>Normal</t>
        </is>
      </c>
      <c r="C151" s="40">
        <f>C150+IF(G150="",F150,G150)</f>
        <v/>
      </c>
      <c r="D151" s="40">
        <f>IF(C151&gt;=TotalStations,"Terminé",INDEX($A$9:$A$38,MATCH(SUMPRODUCT(($A$9:$A$38&lt;&gt;"")*($F$9:$F$38&lt;=C151))+1,$G$9:$G$38,0)))</f>
        <v/>
      </c>
      <c r="E151" s="40">
        <f>IF(C151&gt;=TotalStations,"",INDEX($C$9:$C$38,MATCH(SUMPRODUCT(($A$9:$A$38&lt;&gt;"")*($F$9:$F$38&lt;=C151))+1,$G$9:$G$38,0)))</f>
        <v/>
      </c>
      <c r="F151" s="40">
        <f>IF(C151&gt;=TotalStations,0,IF(OR(B151="Dédié",$B$3="Plein temps (7h)"),MIN(FLOOR(420/E151,1),TotalStations-C151),MIN(VALUE($B$3),TotalStations-C151)))</f>
        <v/>
      </c>
      <c r="G151" s="38" t="n"/>
      <c r="H151" s="40">
        <f>IF(G151="","",G151-F151)</f>
        <v/>
      </c>
      <c r="I151" s="40">
        <f>SUM($H$48:H151)</f>
        <v/>
      </c>
      <c r="J151" s="40">
        <f>C151+F151</f>
        <v/>
      </c>
    </row>
    <row r="152" hidden="1" outlineLevel="1" ht="15" customHeight="1" s="18">
      <c r="A152" s="44" t="n">
        <v>46409</v>
      </c>
      <c r="B152" s="45" t="inlineStr">
        <is>
          <t>Normal</t>
        </is>
      </c>
      <c r="C152" s="40">
        <f>C151+IF(G151="",F151,G151)</f>
        <v/>
      </c>
      <c r="D152" s="40">
        <f>IF(C152&gt;=TotalStations,"Terminé",INDEX($A$9:$A$38,MATCH(SUMPRODUCT(($A$9:$A$38&lt;&gt;"")*($F$9:$F$38&lt;=C152))+1,$G$9:$G$38,0)))</f>
        <v/>
      </c>
      <c r="E152" s="40">
        <f>IF(C152&gt;=TotalStations,"",INDEX($C$9:$C$38,MATCH(SUMPRODUCT(($A$9:$A$38&lt;&gt;"")*($F$9:$F$38&lt;=C152))+1,$G$9:$G$38,0)))</f>
        <v/>
      </c>
      <c r="F152" s="40">
        <f>IF(C152&gt;=TotalStations,0,IF(OR(B152="Dédié",$B$3="Plein temps (7h)"),MIN(FLOOR(420/E152,1),TotalStations-C152),MIN(VALUE($B$3),TotalStations-C152)))</f>
        <v/>
      </c>
      <c r="G152" s="38" t="n"/>
      <c r="H152" s="40">
        <f>IF(G152="","",G152-F152)</f>
        <v/>
      </c>
      <c r="I152" s="40">
        <f>SUM($H$48:H152)</f>
        <v/>
      </c>
      <c r="J152" s="40">
        <f>C152+F152</f>
        <v/>
      </c>
    </row>
    <row r="153" hidden="1" outlineLevel="1" ht="15" customHeight="1" s="18">
      <c r="A153" s="44" t="n">
        <v>46412</v>
      </c>
      <c r="B153" s="45" t="inlineStr">
        <is>
          <t>Normal</t>
        </is>
      </c>
      <c r="C153" s="40">
        <f>C152+IF(G152="",F152,G152)</f>
        <v/>
      </c>
      <c r="D153" s="40">
        <f>IF(C153&gt;=TotalStations,"Terminé",INDEX($A$9:$A$38,MATCH(SUMPRODUCT(($A$9:$A$38&lt;&gt;"")*($F$9:$F$38&lt;=C153))+1,$G$9:$G$38,0)))</f>
        <v/>
      </c>
      <c r="E153" s="40">
        <f>IF(C153&gt;=TotalStations,"",INDEX($C$9:$C$38,MATCH(SUMPRODUCT(($A$9:$A$38&lt;&gt;"")*($F$9:$F$38&lt;=C153))+1,$G$9:$G$38,0)))</f>
        <v/>
      </c>
      <c r="F153" s="40">
        <f>IF(C153&gt;=TotalStations,0,IF(OR(B153="Dédié",$B$3="Plein temps (7h)"),MIN(FLOOR(420/E153,1),TotalStations-C153),MIN(VALUE($B$3),TotalStations-C153)))</f>
        <v/>
      </c>
      <c r="G153" s="38" t="n"/>
      <c r="H153" s="40">
        <f>IF(G153="","",G153-F153)</f>
        <v/>
      </c>
      <c r="I153" s="40">
        <f>SUM($H$48:H153)</f>
        <v/>
      </c>
      <c r="J153" s="40">
        <f>C153+F153</f>
        <v/>
      </c>
    </row>
    <row r="154" hidden="1" outlineLevel="1" ht="15" customHeight="1" s="18">
      <c r="A154" s="44" t="n">
        <v>46413</v>
      </c>
      <c r="B154" s="45" t="inlineStr">
        <is>
          <t>Normal</t>
        </is>
      </c>
      <c r="C154" s="40">
        <f>C153+IF(G153="",F153,G153)</f>
        <v/>
      </c>
      <c r="D154" s="40">
        <f>IF(C154&gt;=TotalStations,"Terminé",INDEX($A$9:$A$38,MATCH(SUMPRODUCT(($A$9:$A$38&lt;&gt;"")*($F$9:$F$38&lt;=C154))+1,$G$9:$G$38,0)))</f>
        <v/>
      </c>
      <c r="E154" s="40">
        <f>IF(C154&gt;=TotalStations,"",INDEX($C$9:$C$38,MATCH(SUMPRODUCT(($A$9:$A$38&lt;&gt;"")*($F$9:$F$38&lt;=C154))+1,$G$9:$G$38,0)))</f>
        <v/>
      </c>
      <c r="F154" s="40">
        <f>IF(C154&gt;=TotalStations,0,IF(OR(B154="Dédié",$B$3="Plein temps (7h)"),MIN(FLOOR(420/E154,1),TotalStations-C154),MIN(VALUE($B$3),TotalStations-C154)))</f>
        <v/>
      </c>
      <c r="G154" s="38" t="n"/>
      <c r="H154" s="40">
        <f>IF(G154="","",G154-F154)</f>
        <v/>
      </c>
      <c r="I154" s="40">
        <f>SUM($H$48:H154)</f>
        <v/>
      </c>
      <c r="J154" s="40">
        <f>C154+F154</f>
        <v/>
      </c>
    </row>
    <row r="155" hidden="1" outlineLevel="1" ht="15" customHeight="1" s="18">
      <c r="A155" s="44" t="n">
        <v>46414</v>
      </c>
      <c r="B155" s="45" t="inlineStr">
        <is>
          <t>Normal</t>
        </is>
      </c>
      <c r="C155" s="40">
        <f>C154+IF(G154="",F154,G154)</f>
        <v/>
      </c>
      <c r="D155" s="40">
        <f>IF(C155&gt;=TotalStations,"Terminé",INDEX($A$9:$A$38,MATCH(SUMPRODUCT(($A$9:$A$38&lt;&gt;"")*($F$9:$F$38&lt;=C155))+1,$G$9:$G$38,0)))</f>
        <v/>
      </c>
      <c r="E155" s="40">
        <f>IF(C155&gt;=TotalStations,"",INDEX($C$9:$C$38,MATCH(SUMPRODUCT(($A$9:$A$38&lt;&gt;"")*($F$9:$F$38&lt;=C155))+1,$G$9:$G$38,0)))</f>
        <v/>
      </c>
      <c r="F155" s="40">
        <f>IF(C155&gt;=TotalStations,0,IF(OR(B155="Dédié",$B$3="Plein temps (7h)"),MIN(FLOOR(420/E155,1),TotalStations-C155),MIN(VALUE($B$3),TotalStations-C155)))</f>
        <v/>
      </c>
      <c r="G155" s="38" t="n"/>
      <c r="H155" s="40">
        <f>IF(G155="","",G155-F155)</f>
        <v/>
      </c>
      <c r="I155" s="40">
        <f>SUM($H$48:H155)</f>
        <v/>
      </c>
      <c r="J155" s="40">
        <f>C155+F155</f>
        <v/>
      </c>
    </row>
    <row r="156" hidden="1" outlineLevel="1" ht="15" customHeight="1" s="18">
      <c r="A156" s="44" t="n">
        <v>46415</v>
      </c>
      <c r="B156" s="45" t="inlineStr">
        <is>
          <t>Normal</t>
        </is>
      </c>
      <c r="C156" s="40">
        <f>C155+IF(G155="",F155,G155)</f>
        <v/>
      </c>
      <c r="D156" s="40">
        <f>IF(C156&gt;=TotalStations,"Terminé",INDEX($A$9:$A$38,MATCH(SUMPRODUCT(($A$9:$A$38&lt;&gt;"")*($F$9:$F$38&lt;=C156))+1,$G$9:$G$38,0)))</f>
        <v/>
      </c>
      <c r="E156" s="40">
        <f>IF(C156&gt;=TotalStations,"",INDEX($C$9:$C$38,MATCH(SUMPRODUCT(($A$9:$A$38&lt;&gt;"")*($F$9:$F$38&lt;=C156))+1,$G$9:$G$38,0)))</f>
        <v/>
      </c>
      <c r="F156" s="40">
        <f>IF(C156&gt;=TotalStations,0,IF(OR(B156="Dédié",$B$3="Plein temps (7h)"),MIN(FLOOR(420/E156,1),TotalStations-C156),MIN(VALUE($B$3),TotalStations-C156)))</f>
        <v/>
      </c>
      <c r="G156" s="38" t="n"/>
      <c r="H156" s="40">
        <f>IF(G156="","",G156-F156)</f>
        <v/>
      </c>
      <c r="I156" s="40">
        <f>SUM($H$48:H156)</f>
        <v/>
      </c>
      <c r="J156" s="40">
        <f>C156+F156</f>
        <v/>
      </c>
    </row>
    <row r="157" hidden="1" outlineLevel="1" ht="15" customHeight="1" s="18">
      <c r="A157" s="44" t="n">
        <v>46416</v>
      </c>
      <c r="B157" s="45" t="inlineStr">
        <is>
          <t>Normal</t>
        </is>
      </c>
      <c r="C157" s="40">
        <f>C156+IF(G156="",F156,G156)</f>
        <v/>
      </c>
      <c r="D157" s="40">
        <f>IF(C157&gt;=TotalStations,"Terminé",INDEX($A$9:$A$38,MATCH(SUMPRODUCT(($A$9:$A$38&lt;&gt;"")*($F$9:$F$38&lt;=C157))+1,$G$9:$G$38,0)))</f>
        <v/>
      </c>
      <c r="E157" s="40">
        <f>IF(C157&gt;=TotalStations,"",INDEX($C$9:$C$38,MATCH(SUMPRODUCT(($A$9:$A$38&lt;&gt;"")*($F$9:$F$38&lt;=C157))+1,$G$9:$G$38,0)))</f>
        <v/>
      </c>
      <c r="F157" s="40">
        <f>IF(C157&gt;=TotalStations,0,IF(OR(B157="Dédié",$B$3="Plein temps (7h)"),MIN(FLOOR(420/E157,1),TotalStations-C157),MIN(VALUE($B$3),TotalStations-C157)))</f>
        <v/>
      </c>
      <c r="G157" s="38" t="n"/>
      <c r="H157" s="40">
        <f>IF(G157="","",G157-F157)</f>
        <v/>
      </c>
      <c r="I157" s="40">
        <f>SUM($H$48:H157)</f>
        <v/>
      </c>
      <c r="J157" s="40">
        <f>C157+F157</f>
        <v/>
      </c>
    </row>
    <row r="158" hidden="1" outlineLevel="1" ht="15" customHeight="1" s="18">
      <c r="A158" s="44" t="n">
        <v>46419</v>
      </c>
      <c r="B158" s="45" t="inlineStr">
        <is>
          <t>Normal</t>
        </is>
      </c>
      <c r="C158" s="40">
        <f>C157+IF(G157="",F157,G157)</f>
        <v/>
      </c>
      <c r="D158" s="40">
        <f>IF(C158&gt;=TotalStations,"Terminé",INDEX($A$9:$A$38,MATCH(SUMPRODUCT(($A$9:$A$38&lt;&gt;"")*($F$9:$F$38&lt;=C158))+1,$G$9:$G$38,0)))</f>
        <v/>
      </c>
      <c r="E158" s="40">
        <f>IF(C158&gt;=TotalStations,"",INDEX($C$9:$C$38,MATCH(SUMPRODUCT(($A$9:$A$38&lt;&gt;"")*($F$9:$F$38&lt;=C158))+1,$G$9:$G$38,0)))</f>
        <v/>
      </c>
      <c r="F158" s="40">
        <f>IF(C158&gt;=TotalStations,0,IF(OR(B158="Dédié",$B$3="Plein temps (7h)"),MIN(FLOOR(420/E158,1),TotalStations-C158),MIN(VALUE($B$3),TotalStations-C158)))</f>
        <v/>
      </c>
      <c r="G158" s="38" t="n"/>
      <c r="H158" s="40">
        <f>IF(G158="","",G158-F158)</f>
        <v/>
      </c>
      <c r="I158" s="40">
        <f>SUM($H$48:H158)</f>
        <v/>
      </c>
      <c r="J158" s="40">
        <f>C158+F158</f>
        <v/>
      </c>
    </row>
    <row r="159" hidden="1" outlineLevel="1" ht="15" customHeight="1" s="18">
      <c r="A159" s="44" t="n">
        <v>46420</v>
      </c>
      <c r="B159" s="45" t="inlineStr">
        <is>
          <t>Normal</t>
        </is>
      </c>
      <c r="C159" s="40">
        <f>C158+IF(G158="",F158,G158)</f>
        <v/>
      </c>
      <c r="D159" s="40">
        <f>IF(C159&gt;=TotalStations,"Terminé",INDEX($A$9:$A$38,MATCH(SUMPRODUCT(($A$9:$A$38&lt;&gt;"")*($F$9:$F$38&lt;=C159))+1,$G$9:$G$38,0)))</f>
        <v/>
      </c>
      <c r="E159" s="40">
        <f>IF(C159&gt;=TotalStations,"",INDEX($C$9:$C$38,MATCH(SUMPRODUCT(($A$9:$A$38&lt;&gt;"")*($F$9:$F$38&lt;=C159))+1,$G$9:$G$38,0)))</f>
        <v/>
      </c>
      <c r="F159" s="40">
        <f>IF(C159&gt;=TotalStations,0,IF(OR(B159="Dédié",$B$3="Plein temps (7h)"),MIN(FLOOR(420/E159,1),TotalStations-C159),MIN(VALUE($B$3),TotalStations-C159)))</f>
        <v/>
      </c>
      <c r="G159" s="38" t="n"/>
      <c r="H159" s="40">
        <f>IF(G159="","",G159-F159)</f>
        <v/>
      </c>
      <c r="I159" s="40">
        <f>SUM($H$48:H159)</f>
        <v/>
      </c>
      <c r="J159" s="40">
        <f>C159+F159</f>
        <v/>
      </c>
    </row>
    <row r="160" hidden="1" outlineLevel="1" ht="15" customHeight="1" s="18">
      <c r="A160" s="44" t="n">
        <v>46421</v>
      </c>
      <c r="B160" s="45" t="inlineStr">
        <is>
          <t>Normal</t>
        </is>
      </c>
      <c r="C160" s="40">
        <f>C159+IF(G159="",F159,G159)</f>
        <v/>
      </c>
      <c r="D160" s="40">
        <f>IF(C160&gt;=TotalStations,"Terminé",INDEX($A$9:$A$38,MATCH(SUMPRODUCT(($A$9:$A$38&lt;&gt;"")*($F$9:$F$38&lt;=C160))+1,$G$9:$G$38,0)))</f>
        <v/>
      </c>
      <c r="E160" s="40">
        <f>IF(C160&gt;=TotalStations,"",INDEX($C$9:$C$38,MATCH(SUMPRODUCT(($A$9:$A$38&lt;&gt;"")*($F$9:$F$38&lt;=C160))+1,$G$9:$G$38,0)))</f>
        <v/>
      </c>
      <c r="F160" s="40">
        <f>IF(C160&gt;=TotalStations,0,IF(OR(B160="Dédié",$B$3="Plein temps (7h)"),MIN(FLOOR(420/E160,1),TotalStations-C160),MIN(VALUE($B$3),TotalStations-C160)))</f>
        <v/>
      </c>
      <c r="G160" s="38" t="n"/>
      <c r="H160" s="40">
        <f>IF(G160="","",G160-F160)</f>
        <v/>
      </c>
      <c r="I160" s="40">
        <f>SUM($H$48:H160)</f>
        <v/>
      </c>
      <c r="J160" s="40">
        <f>C160+F160</f>
        <v/>
      </c>
    </row>
    <row r="161" hidden="1" outlineLevel="1" ht="15" customHeight="1" s="18">
      <c r="A161" s="44" t="n">
        <v>46422</v>
      </c>
      <c r="B161" s="45" t="inlineStr">
        <is>
          <t>Normal</t>
        </is>
      </c>
      <c r="C161" s="40">
        <f>C160+IF(G160="",F160,G160)</f>
        <v/>
      </c>
      <c r="D161" s="40">
        <f>IF(C161&gt;=TotalStations,"Terminé",INDEX($A$9:$A$38,MATCH(SUMPRODUCT(($A$9:$A$38&lt;&gt;"")*($F$9:$F$38&lt;=C161))+1,$G$9:$G$38,0)))</f>
        <v/>
      </c>
      <c r="E161" s="40">
        <f>IF(C161&gt;=TotalStations,"",INDEX($C$9:$C$38,MATCH(SUMPRODUCT(($A$9:$A$38&lt;&gt;"")*($F$9:$F$38&lt;=C161))+1,$G$9:$G$38,0)))</f>
        <v/>
      </c>
      <c r="F161" s="40">
        <f>IF(C161&gt;=TotalStations,0,IF(OR(B161="Dédié",$B$3="Plein temps (7h)"),MIN(FLOOR(420/E161,1),TotalStations-C161),MIN(VALUE($B$3),TotalStations-C161)))</f>
        <v/>
      </c>
      <c r="G161" s="38" t="n"/>
      <c r="H161" s="40">
        <f>IF(G161="","",G161-F161)</f>
        <v/>
      </c>
      <c r="I161" s="40">
        <f>SUM($H$48:H161)</f>
        <v/>
      </c>
      <c r="J161" s="40">
        <f>C161+F161</f>
        <v/>
      </c>
    </row>
    <row r="162" hidden="1" outlineLevel="1" ht="15" customHeight="1" s="18">
      <c r="A162" s="44" t="n">
        <v>46423</v>
      </c>
      <c r="B162" s="45" t="inlineStr">
        <is>
          <t>Normal</t>
        </is>
      </c>
      <c r="C162" s="40">
        <f>C161+IF(G161="",F161,G161)</f>
        <v/>
      </c>
      <c r="D162" s="40">
        <f>IF(C162&gt;=TotalStations,"Terminé",INDEX($A$9:$A$38,MATCH(SUMPRODUCT(($A$9:$A$38&lt;&gt;"")*($F$9:$F$38&lt;=C162))+1,$G$9:$G$38,0)))</f>
        <v/>
      </c>
      <c r="E162" s="40">
        <f>IF(C162&gt;=TotalStations,"",INDEX($C$9:$C$38,MATCH(SUMPRODUCT(($A$9:$A$38&lt;&gt;"")*($F$9:$F$38&lt;=C162))+1,$G$9:$G$38,0)))</f>
        <v/>
      </c>
      <c r="F162" s="40">
        <f>IF(C162&gt;=TotalStations,0,IF(OR(B162="Dédié",$B$3="Plein temps (7h)"),MIN(FLOOR(420/E162,1),TotalStations-C162),MIN(VALUE($B$3),TotalStations-C162)))</f>
        <v/>
      </c>
      <c r="G162" s="38" t="n"/>
      <c r="H162" s="40">
        <f>IF(G162="","",G162-F162)</f>
        <v/>
      </c>
      <c r="I162" s="40">
        <f>SUM($H$48:H162)</f>
        <v/>
      </c>
      <c r="J162" s="40">
        <f>C162+F162</f>
        <v/>
      </c>
    </row>
    <row r="163" hidden="1" outlineLevel="1" ht="15" customHeight="1" s="18">
      <c r="A163" s="44" t="n">
        <v>46426</v>
      </c>
      <c r="B163" s="45" t="inlineStr">
        <is>
          <t>Normal</t>
        </is>
      </c>
      <c r="C163" s="40">
        <f>C162+IF(G162="",F162,G162)</f>
        <v/>
      </c>
      <c r="D163" s="40">
        <f>IF(C163&gt;=TotalStations,"Terminé",INDEX($A$9:$A$38,MATCH(SUMPRODUCT(($A$9:$A$38&lt;&gt;"")*($F$9:$F$38&lt;=C163))+1,$G$9:$G$38,0)))</f>
        <v/>
      </c>
      <c r="E163" s="40">
        <f>IF(C163&gt;=TotalStations,"",INDEX($C$9:$C$38,MATCH(SUMPRODUCT(($A$9:$A$38&lt;&gt;"")*($F$9:$F$38&lt;=C163))+1,$G$9:$G$38,0)))</f>
        <v/>
      </c>
      <c r="F163" s="40">
        <f>IF(C163&gt;=TotalStations,0,IF(OR(B163="Dédié",$B$3="Plein temps (7h)"),MIN(FLOOR(420/E163,1),TotalStations-C163),MIN(VALUE($B$3),TotalStations-C163)))</f>
        <v/>
      </c>
      <c r="G163" s="38" t="n"/>
      <c r="H163" s="40">
        <f>IF(G163="","",G163-F163)</f>
        <v/>
      </c>
      <c r="I163" s="40">
        <f>SUM($H$48:H163)</f>
        <v/>
      </c>
      <c r="J163" s="40">
        <f>C163+F163</f>
        <v/>
      </c>
    </row>
    <row r="164" hidden="1" outlineLevel="1" ht="15" customHeight="1" s="18">
      <c r="A164" s="44" t="n">
        <v>46427</v>
      </c>
      <c r="B164" s="45" t="inlineStr">
        <is>
          <t>Normal</t>
        </is>
      </c>
      <c r="C164" s="40">
        <f>C163+IF(G163="",F163,G163)</f>
        <v/>
      </c>
      <c r="D164" s="40">
        <f>IF(C164&gt;=TotalStations,"Terminé",INDEX($A$9:$A$38,MATCH(SUMPRODUCT(($A$9:$A$38&lt;&gt;"")*($F$9:$F$38&lt;=C164))+1,$G$9:$G$38,0)))</f>
        <v/>
      </c>
      <c r="E164" s="40">
        <f>IF(C164&gt;=TotalStations,"",INDEX($C$9:$C$38,MATCH(SUMPRODUCT(($A$9:$A$38&lt;&gt;"")*($F$9:$F$38&lt;=C164))+1,$G$9:$G$38,0)))</f>
        <v/>
      </c>
      <c r="F164" s="40">
        <f>IF(C164&gt;=TotalStations,0,IF(OR(B164="Dédié",$B$3="Plein temps (7h)"),MIN(FLOOR(420/E164,1),TotalStations-C164),MIN(VALUE($B$3),TotalStations-C164)))</f>
        <v/>
      </c>
      <c r="G164" s="38" t="n"/>
      <c r="H164" s="40">
        <f>IF(G164="","",G164-F164)</f>
        <v/>
      </c>
      <c r="I164" s="40">
        <f>SUM($H$48:H164)</f>
        <v/>
      </c>
      <c r="J164" s="40">
        <f>C164+F164</f>
        <v/>
      </c>
    </row>
    <row r="165" hidden="1" outlineLevel="1" ht="15" customHeight="1" s="18">
      <c r="A165" s="44" t="n">
        <v>46428</v>
      </c>
      <c r="B165" s="45" t="inlineStr">
        <is>
          <t>Normal</t>
        </is>
      </c>
      <c r="C165" s="40">
        <f>C164+IF(G164="",F164,G164)</f>
        <v/>
      </c>
      <c r="D165" s="40">
        <f>IF(C165&gt;=TotalStations,"Terminé",INDEX($A$9:$A$38,MATCH(SUMPRODUCT(($A$9:$A$38&lt;&gt;"")*($F$9:$F$38&lt;=C165))+1,$G$9:$G$38,0)))</f>
        <v/>
      </c>
      <c r="E165" s="40">
        <f>IF(C165&gt;=TotalStations,"",INDEX($C$9:$C$38,MATCH(SUMPRODUCT(($A$9:$A$38&lt;&gt;"")*($F$9:$F$38&lt;=C165))+1,$G$9:$G$38,0)))</f>
        <v/>
      </c>
      <c r="F165" s="40">
        <f>IF(C165&gt;=TotalStations,0,IF(OR(B165="Dédié",$B$3="Plein temps (7h)"),MIN(FLOOR(420/E165,1),TotalStations-C165),MIN(VALUE($B$3),TotalStations-C165)))</f>
        <v/>
      </c>
      <c r="G165" s="38" t="n"/>
      <c r="H165" s="40">
        <f>IF(G165="","",G165-F165)</f>
        <v/>
      </c>
      <c r="I165" s="40">
        <f>SUM($H$48:H165)</f>
        <v/>
      </c>
      <c r="J165" s="40">
        <f>C165+F165</f>
        <v/>
      </c>
    </row>
    <row r="166" hidden="1" outlineLevel="1" ht="15" customHeight="1" s="18">
      <c r="A166" s="44" t="n">
        <v>46429</v>
      </c>
      <c r="B166" s="45" t="inlineStr">
        <is>
          <t>Normal</t>
        </is>
      </c>
      <c r="C166" s="40">
        <f>C165+IF(G165="",F165,G165)</f>
        <v/>
      </c>
      <c r="D166" s="40">
        <f>IF(C166&gt;=TotalStations,"Terminé",INDEX($A$9:$A$38,MATCH(SUMPRODUCT(($A$9:$A$38&lt;&gt;"")*($F$9:$F$38&lt;=C166))+1,$G$9:$G$38,0)))</f>
        <v/>
      </c>
      <c r="E166" s="40">
        <f>IF(C166&gt;=TotalStations,"",INDEX($C$9:$C$38,MATCH(SUMPRODUCT(($A$9:$A$38&lt;&gt;"")*($F$9:$F$38&lt;=C166))+1,$G$9:$G$38,0)))</f>
        <v/>
      </c>
      <c r="F166" s="40">
        <f>IF(C166&gt;=TotalStations,0,IF(OR(B166="Dédié",$B$3="Plein temps (7h)"),MIN(FLOOR(420/E166,1),TotalStations-C166),MIN(VALUE($B$3),TotalStations-C166)))</f>
        <v/>
      </c>
      <c r="G166" s="38" t="n"/>
      <c r="H166" s="40">
        <f>IF(G166="","",G166-F166)</f>
        <v/>
      </c>
      <c r="I166" s="40">
        <f>SUM($H$48:H166)</f>
        <v/>
      </c>
      <c r="J166" s="40">
        <f>C166+F166</f>
        <v/>
      </c>
    </row>
    <row r="167" hidden="1" outlineLevel="1" ht="15" customHeight="1" s="18">
      <c r="A167" s="44" t="n">
        <v>46430</v>
      </c>
      <c r="B167" s="45" t="inlineStr">
        <is>
          <t>Normal</t>
        </is>
      </c>
      <c r="C167" s="40">
        <f>C166+IF(G166="",F166,G166)</f>
        <v/>
      </c>
      <c r="D167" s="40">
        <f>IF(C167&gt;=TotalStations,"Terminé",INDEX($A$9:$A$38,MATCH(SUMPRODUCT(($A$9:$A$38&lt;&gt;"")*($F$9:$F$38&lt;=C167))+1,$G$9:$G$38,0)))</f>
        <v/>
      </c>
      <c r="E167" s="40">
        <f>IF(C167&gt;=TotalStations,"",INDEX($C$9:$C$38,MATCH(SUMPRODUCT(($A$9:$A$38&lt;&gt;"")*($F$9:$F$38&lt;=C167))+1,$G$9:$G$38,0)))</f>
        <v/>
      </c>
      <c r="F167" s="40">
        <f>IF(C167&gt;=TotalStations,0,IF(OR(B167="Dédié",$B$3="Plein temps (7h)"),MIN(FLOOR(420/E167,1),TotalStations-C167),MIN(VALUE($B$3),TotalStations-C167)))</f>
        <v/>
      </c>
      <c r="G167" s="38" t="n"/>
      <c r="H167" s="40">
        <f>IF(G167="","",G167-F167)</f>
        <v/>
      </c>
      <c r="I167" s="40">
        <f>SUM($H$48:H167)</f>
        <v/>
      </c>
      <c r="J167" s="40">
        <f>C167+F167</f>
        <v/>
      </c>
    </row>
    <row r="168" hidden="1" outlineLevel="1" ht="15" customHeight="1" s="18">
      <c r="A168" s="44" t="n">
        <v>46433</v>
      </c>
      <c r="B168" s="45" t="inlineStr">
        <is>
          <t>Normal</t>
        </is>
      </c>
      <c r="C168" s="40">
        <f>C167+IF(G167="",F167,G167)</f>
        <v/>
      </c>
      <c r="D168" s="40">
        <f>IF(C168&gt;=TotalStations,"Terminé",INDEX($A$9:$A$38,MATCH(SUMPRODUCT(($A$9:$A$38&lt;&gt;"")*($F$9:$F$38&lt;=C168))+1,$G$9:$G$38,0)))</f>
        <v/>
      </c>
      <c r="E168" s="40">
        <f>IF(C168&gt;=TotalStations,"",INDEX($C$9:$C$38,MATCH(SUMPRODUCT(($A$9:$A$38&lt;&gt;"")*($F$9:$F$38&lt;=C168))+1,$G$9:$G$38,0)))</f>
        <v/>
      </c>
      <c r="F168" s="40">
        <f>IF(C168&gt;=TotalStations,0,IF(OR(B168="Dédié",$B$3="Plein temps (7h)"),MIN(FLOOR(420/E168,1),TotalStations-C168),MIN(VALUE($B$3),TotalStations-C168)))</f>
        <v/>
      </c>
      <c r="G168" s="38" t="n"/>
      <c r="H168" s="40">
        <f>IF(G168="","",G168-F168)</f>
        <v/>
      </c>
      <c r="I168" s="40">
        <f>SUM($H$48:H168)</f>
        <v/>
      </c>
      <c r="J168" s="40">
        <f>C168+F168</f>
        <v/>
      </c>
    </row>
    <row r="169" hidden="1" outlineLevel="1" ht="15" customHeight="1" s="18">
      <c r="A169" s="44" t="n">
        <v>46434</v>
      </c>
      <c r="B169" s="45" t="inlineStr">
        <is>
          <t>Normal</t>
        </is>
      </c>
      <c r="C169" s="40">
        <f>C168+IF(G168="",F168,G168)</f>
        <v/>
      </c>
      <c r="D169" s="40">
        <f>IF(C169&gt;=TotalStations,"Terminé",INDEX($A$9:$A$38,MATCH(SUMPRODUCT(($A$9:$A$38&lt;&gt;"")*($F$9:$F$38&lt;=C169))+1,$G$9:$G$38,0)))</f>
        <v/>
      </c>
      <c r="E169" s="40">
        <f>IF(C169&gt;=TotalStations,"",INDEX($C$9:$C$38,MATCH(SUMPRODUCT(($A$9:$A$38&lt;&gt;"")*($F$9:$F$38&lt;=C169))+1,$G$9:$G$38,0)))</f>
        <v/>
      </c>
      <c r="F169" s="40">
        <f>IF(C169&gt;=TotalStations,0,IF(OR(B169="Dédié",$B$3="Plein temps (7h)"),MIN(FLOOR(420/E169,1),TotalStations-C169),MIN(VALUE($B$3),TotalStations-C169)))</f>
        <v/>
      </c>
      <c r="G169" s="38" t="n"/>
      <c r="H169" s="40">
        <f>IF(G169="","",G169-F169)</f>
        <v/>
      </c>
      <c r="I169" s="40">
        <f>SUM($H$48:H169)</f>
        <v/>
      </c>
      <c r="J169" s="40">
        <f>C169+F169</f>
        <v/>
      </c>
    </row>
    <row r="170" hidden="1" outlineLevel="1" ht="15" customHeight="1" s="18">
      <c r="A170" s="44" t="n">
        <v>46435</v>
      </c>
      <c r="B170" s="45" t="inlineStr">
        <is>
          <t>Normal</t>
        </is>
      </c>
      <c r="C170" s="40">
        <f>C169+IF(G169="",F169,G169)</f>
        <v/>
      </c>
      <c r="D170" s="40">
        <f>IF(C170&gt;=TotalStations,"Terminé",INDEX($A$9:$A$38,MATCH(SUMPRODUCT(($A$9:$A$38&lt;&gt;"")*($F$9:$F$38&lt;=C170))+1,$G$9:$G$38,0)))</f>
        <v/>
      </c>
      <c r="E170" s="40">
        <f>IF(C170&gt;=TotalStations,"",INDEX($C$9:$C$38,MATCH(SUMPRODUCT(($A$9:$A$38&lt;&gt;"")*($F$9:$F$38&lt;=C170))+1,$G$9:$G$38,0)))</f>
        <v/>
      </c>
      <c r="F170" s="40">
        <f>IF(C170&gt;=TotalStations,0,IF(OR(B170="Dédié",$B$3="Plein temps (7h)"),MIN(FLOOR(420/E170,1),TotalStations-C170),MIN(VALUE($B$3),TotalStations-C170)))</f>
        <v/>
      </c>
      <c r="G170" s="38" t="n"/>
      <c r="H170" s="40">
        <f>IF(G170="","",G170-F170)</f>
        <v/>
      </c>
      <c r="I170" s="40">
        <f>SUM($H$48:H170)</f>
        <v/>
      </c>
      <c r="J170" s="40">
        <f>C170+F170</f>
        <v/>
      </c>
    </row>
    <row r="171" hidden="1" outlineLevel="1" ht="15" customHeight="1" s="18">
      <c r="A171" s="44" t="n">
        <v>46436</v>
      </c>
      <c r="B171" s="45" t="inlineStr">
        <is>
          <t>Normal</t>
        </is>
      </c>
      <c r="C171" s="40">
        <f>C170+IF(G170="",F170,G170)</f>
        <v/>
      </c>
      <c r="D171" s="40">
        <f>IF(C171&gt;=TotalStations,"Terminé",INDEX($A$9:$A$38,MATCH(SUMPRODUCT(($A$9:$A$38&lt;&gt;"")*($F$9:$F$38&lt;=C171))+1,$G$9:$G$38,0)))</f>
        <v/>
      </c>
      <c r="E171" s="40">
        <f>IF(C171&gt;=TotalStations,"",INDEX($C$9:$C$38,MATCH(SUMPRODUCT(($A$9:$A$38&lt;&gt;"")*($F$9:$F$38&lt;=C171))+1,$G$9:$G$38,0)))</f>
        <v/>
      </c>
      <c r="F171" s="40">
        <f>IF(C171&gt;=TotalStations,0,IF(OR(B171="Dédié",$B$3="Plein temps (7h)"),MIN(FLOOR(420/E171,1),TotalStations-C171),MIN(VALUE($B$3),TotalStations-C171)))</f>
        <v/>
      </c>
      <c r="G171" s="38" t="n"/>
      <c r="H171" s="40">
        <f>IF(G171="","",G171-F171)</f>
        <v/>
      </c>
      <c r="I171" s="40">
        <f>SUM($H$48:H171)</f>
        <v/>
      </c>
      <c r="J171" s="40">
        <f>C171+F171</f>
        <v/>
      </c>
    </row>
    <row r="172" hidden="1" outlineLevel="1" ht="15" customHeight="1" s="18">
      <c r="A172" s="44" t="n">
        <v>46437</v>
      </c>
      <c r="B172" s="45" t="inlineStr">
        <is>
          <t>Normal</t>
        </is>
      </c>
      <c r="C172" s="40">
        <f>C171+IF(G171="",F171,G171)</f>
        <v/>
      </c>
      <c r="D172" s="40">
        <f>IF(C172&gt;=TotalStations,"Terminé",INDEX($A$9:$A$38,MATCH(SUMPRODUCT(($A$9:$A$38&lt;&gt;"")*($F$9:$F$38&lt;=C172))+1,$G$9:$G$38,0)))</f>
        <v/>
      </c>
      <c r="E172" s="40">
        <f>IF(C172&gt;=TotalStations,"",INDEX($C$9:$C$38,MATCH(SUMPRODUCT(($A$9:$A$38&lt;&gt;"")*($F$9:$F$38&lt;=C172))+1,$G$9:$G$38,0)))</f>
        <v/>
      </c>
      <c r="F172" s="40">
        <f>IF(C172&gt;=TotalStations,0,IF(OR(B172="Dédié",$B$3="Plein temps (7h)"),MIN(FLOOR(420/E172,1),TotalStations-C172),MIN(VALUE($B$3),TotalStations-C172)))</f>
        <v/>
      </c>
      <c r="G172" s="38" t="n"/>
      <c r="H172" s="40">
        <f>IF(G172="","",G172-F172)</f>
        <v/>
      </c>
      <c r="I172" s="40">
        <f>SUM($H$48:H172)</f>
        <v/>
      </c>
      <c r="J172" s="40">
        <f>C172+F172</f>
        <v/>
      </c>
    </row>
    <row r="173" hidden="1" outlineLevel="1" ht="15" customHeight="1" s="18">
      <c r="A173" s="44" t="n">
        <v>46440</v>
      </c>
      <c r="B173" s="45" t="inlineStr">
        <is>
          <t>Normal</t>
        </is>
      </c>
      <c r="C173" s="40">
        <f>C172+IF(G172="",F172,G172)</f>
        <v/>
      </c>
      <c r="D173" s="40">
        <f>IF(C173&gt;=TotalStations,"Terminé",INDEX($A$9:$A$38,MATCH(SUMPRODUCT(($A$9:$A$38&lt;&gt;"")*($F$9:$F$38&lt;=C173))+1,$G$9:$G$38,0)))</f>
        <v/>
      </c>
      <c r="E173" s="40">
        <f>IF(C173&gt;=TotalStations,"",INDEX($C$9:$C$38,MATCH(SUMPRODUCT(($A$9:$A$38&lt;&gt;"")*($F$9:$F$38&lt;=C173))+1,$G$9:$G$38,0)))</f>
        <v/>
      </c>
      <c r="F173" s="40">
        <f>IF(C173&gt;=TotalStations,0,IF(OR(B173="Dédié",$B$3="Plein temps (7h)"),MIN(FLOOR(420/E173,1),TotalStations-C173),MIN(VALUE($B$3),TotalStations-C173)))</f>
        <v/>
      </c>
      <c r="G173" s="38" t="n"/>
      <c r="H173" s="40">
        <f>IF(G173="","",G173-F173)</f>
        <v/>
      </c>
      <c r="I173" s="40">
        <f>SUM($H$48:H173)</f>
        <v/>
      </c>
      <c r="J173" s="40">
        <f>C173+F173</f>
        <v/>
      </c>
    </row>
    <row r="174" hidden="1" outlineLevel="1" ht="15" customHeight="1" s="18">
      <c r="A174" s="44" t="n">
        <v>46441</v>
      </c>
      <c r="B174" s="45" t="inlineStr">
        <is>
          <t>Normal</t>
        </is>
      </c>
      <c r="C174" s="40">
        <f>C173+IF(G173="",F173,G173)</f>
        <v/>
      </c>
      <c r="D174" s="40">
        <f>IF(C174&gt;=TotalStations,"Terminé",INDEX($A$9:$A$38,MATCH(SUMPRODUCT(($A$9:$A$38&lt;&gt;"")*($F$9:$F$38&lt;=C174))+1,$G$9:$G$38,0)))</f>
        <v/>
      </c>
      <c r="E174" s="40">
        <f>IF(C174&gt;=TotalStations,"",INDEX($C$9:$C$38,MATCH(SUMPRODUCT(($A$9:$A$38&lt;&gt;"")*($F$9:$F$38&lt;=C174))+1,$G$9:$G$38,0)))</f>
        <v/>
      </c>
      <c r="F174" s="40">
        <f>IF(C174&gt;=TotalStations,0,IF(OR(B174="Dédié",$B$3="Plein temps (7h)"),MIN(FLOOR(420/E174,1),TotalStations-C174),MIN(VALUE($B$3),TotalStations-C174)))</f>
        <v/>
      </c>
      <c r="G174" s="38" t="n"/>
      <c r="H174" s="40">
        <f>IF(G174="","",G174-F174)</f>
        <v/>
      </c>
      <c r="I174" s="40">
        <f>SUM($H$48:H174)</f>
        <v/>
      </c>
      <c r="J174" s="40">
        <f>C174+F174</f>
        <v/>
      </c>
    </row>
    <row r="175" hidden="1" outlineLevel="1" ht="15" customHeight="1" s="18">
      <c r="A175" s="44" t="n">
        <v>46442</v>
      </c>
      <c r="B175" s="45" t="inlineStr">
        <is>
          <t>Normal</t>
        </is>
      </c>
      <c r="C175" s="40">
        <f>C174+IF(G174="",F174,G174)</f>
        <v/>
      </c>
      <c r="D175" s="40">
        <f>IF(C175&gt;=TotalStations,"Terminé",INDEX($A$9:$A$38,MATCH(SUMPRODUCT(($A$9:$A$38&lt;&gt;"")*($F$9:$F$38&lt;=C175))+1,$G$9:$G$38,0)))</f>
        <v/>
      </c>
      <c r="E175" s="40">
        <f>IF(C175&gt;=TotalStations,"",INDEX($C$9:$C$38,MATCH(SUMPRODUCT(($A$9:$A$38&lt;&gt;"")*($F$9:$F$38&lt;=C175))+1,$G$9:$G$38,0)))</f>
        <v/>
      </c>
      <c r="F175" s="40">
        <f>IF(C175&gt;=TotalStations,0,IF(OR(B175="Dédié",$B$3="Plein temps (7h)"),MIN(FLOOR(420/E175,1),TotalStations-C175),MIN(VALUE($B$3),TotalStations-C175)))</f>
        <v/>
      </c>
      <c r="G175" s="38" t="n"/>
      <c r="H175" s="40">
        <f>IF(G175="","",G175-F175)</f>
        <v/>
      </c>
      <c r="I175" s="40">
        <f>SUM($H$48:H175)</f>
        <v/>
      </c>
      <c r="J175" s="40">
        <f>C175+F175</f>
        <v/>
      </c>
    </row>
    <row r="176" hidden="1" outlineLevel="1" ht="15" customHeight="1" s="18">
      <c r="A176" s="44" t="n">
        <v>46443</v>
      </c>
      <c r="B176" s="45" t="inlineStr">
        <is>
          <t>Normal</t>
        </is>
      </c>
      <c r="C176" s="40">
        <f>C175+IF(G175="",F175,G175)</f>
        <v/>
      </c>
      <c r="D176" s="40">
        <f>IF(C176&gt;=TotalStations,"Terminé",INDEX($A$9:$A$38,MATCH(SUMPRODUCT(($A$9:$A$38&lt;&gt;"")*($F$9:$F$38&lt;=C176))+1,$G$9:$G$38,0)))</f>
        <v/>
      </c>
      <c r="E176" s="40">
        <f>IF(C176&gt;=TotalStations,"",INDEX($C$9:$C$38,MATCH(SUMPRODUCT(($A$9:$A$38&lt;&gt;"")*($F$9:$F$38&lt;=C176))+1,$G$9:$G$38,0)))</f>
        <v/>
      </c>
      <c r="F176" s="40">
        <f>IF(C176&gt;=TotalStations,0,IF(OR(B176="Dédié",$B$3="Plein temps (7h)"),MIN(FLOOR(420/E176,1),TotalStations-C176),MIN(VALUE($B$3),TotalStations-C176)))</f>
        <v/>
      </c>
      <c r="G176" s="38" t="n"/>
      <c r="H176" s="40">
        <f>IF(G176="","",G176-F176)</f>
        <v/>
      </c>
      <c r="I176" s="40">
        <f>SUM($H$48:H176)</f>
        <v/>
      </c>
      <c r="J176" s="40">
        <f>C176+F176</f>
        <v/>
      </c>
    </row>
    <row r="177" hidden="1" outlineLevel="1" ht="15" customHeight="1" s="18">
      <c r="A177" s="44" t="n">
        <v>46444</v>
      </c>
      <c r="B177" s="45" t="inlineStr">
        <is>
          <t>Normal</t>
        </is>
      </c>
      <c r="C177" s="40">
        <f>C176+IF(G176="",F176,G176)</f>
        <v/>
      </c>
      <c r="D177" s="40">
        <f>IF(C177&gt;=TotalStations,"Terminé",INDEX($A$9:$A$38,MATCH(SUMPRODUCT(($A$9:$A$38&lt;&gt;"")*($F$9:$F$38&lt;=C177))+1,$G$9:$G$38,0)))</f>
        <v/>
      </c>
      <c r="E177" s="40">
        <f>IF(C177&gt;=TotalStations,"",INDEX($C$9:$C$38,MATCH(SUMPRODUCT(($A$9:$A$38&lt;&gt;"")*($F$9:$F$38&lt;=C177))+1,$G$9:$G$38,0)))</f>
        <v/>
      </c>
      <c r="F177" s="40">
        <f>IF(C177&gt;=TotalStations,0,IF(OR(B177="Dédié",$B$3="Plein temps (7h)"),MIN(FLOOR(420/E177,1),TotalStations-C177),MIN(VALUE($B$3),TotalStations-C177)))</f>
        <v/>
      </c>
      <c r="G177" s="38" t="n"/>
      <c r="H177" s="40">
        <f>IF(G177="","",G177-F177)</f>
        <v/>
      </c>
      <c r="I177" s="40">
        <f>SUM($H$48:H177)</f>
        <v/>
      </c>
      <c r="J177" s="40">
        <f>C177+F177</f>
        <v/>
      </c>
    </row>
    <row r="178" hidden="1" outlineLevel="1" ht="15" customHeight="1" s="18">
      <c r="A178" s="44" t="n">
        <v>46447</v>
      </c>
      <c r="B178" s="45" t="inlineStr">
        <is>
          <t>Normal</t>
        </is>
      </c>
      <c r="C178" s="40">
        <f>C177+IF(G177="",F177,G177)</f>
        <v/>
      </c>
      <c r="D178" s="40">
        <f>IF(C178&gt;=TotalStations,"Terminé",INDEX($A$9:$A$38,MATCH(SUMPRODUCT(($A$9:$A$38&lt;&gt;"")*($F$9:$F$38&lt;=C178))+1,$G$9:$G$38,0)))</f>
        <v/>
      </c>
      <c r="E178" s="40">
        <f>IF(C178&gt;=TotalStations,"",INDEX($C$9:$C$38,MATCH(SUMPRODUCT(($A$9:$A$38&lt;&gt;"")*($F$9:$F$38&lt;=C178))+1,$G$9:$G$38,0)))</f>
        <v/>
      </c>
      <c r="F178" s="40">
        <f>IF(C178&gt;=TotalStations,0,IF(OR(B178="Dédié",$B$3="Plein temps (7h)"),MIN(FLOOR(420/E178,1),TotalStations-C178),MIN(VALUE($B$3),TotalStations-C178)))</f>
        <v/>
      </c>
      <c r="G178" s="38" t="n"/>
      <c r="H178" s="40">
        <f>IF(G178="","",G178-F178)</f>
        <v/>
      </c>
      <c r="I178" s="40">
        <f>SUM($H$48:H178)</f>
        <v/>
      </c>
      <c r="J178" s="40">
        <f>C178+F178</f>
        <v/>
      </c>
    </row>
    <row r="179" hidden="1" outlineLevel="1" ht="15" customHeight="1" s="18">
      <c r="A179" s="44" t="n">
        <v>46448</v>
      </c>
      <c r="B179" s="45" t="inlineStr">
        <is>
          <t>Normal</t>
        </is>
      </c>
      <c r="C179" s="40">
        <f>C178+IF(G178="",F178,G178)</f>
        <v/>
      </c>
      <c r="D179" s="40">
        <f>IF(C179&gt;=TotalStations,"Terminé",INDEX($A$9:$A$38,MATCH(SUMPRODUCT(($A$9:$A$38&lt;&gt;"")*($F$9:$F$38&lt;=C179))+1,$G$9:$G$38,0)))</f>
        <v/>
      </c>
      <c r="E179" s="40">
        <f>IF(C179&gt;=TotalStations,"",INDEX($C$9:$C$38,MATCH(SUMPRODUCT(($A$9:$A$38&lt;&gt;"")*($F$9:$F$38&lt;=C179))+1,$G$9:$G$38,0)))</f>
        <v/>
      </c>
      <c r="F179" s="40">
        <f>IF(C179&gt;=TotalStations,0,IF(OR(B179="Dédié",$B$3="Plein temps (7h)"),MIN(FLOOR(420/E179,1),TotalStations-C179),MIN(VALUE($B$3),TotalStations-C179)))</f>
        <v/>
      </c>
      <c r="G179" s="38" t="n"/>
      <c r="H179" s="40">
        <f>IF(G179="","",G179-F179)</f>
        <v/>
      </c>
      <c r="I179" s="40">
        <f>SUM($H$48:H179)</f>
        <v/>
      </c>
      <c r="J179" s="40">
        <f>C179+F179</f>
        <v/>
      </c>
    </row>
    <row r="180" hidden="1" outlineLevel="1" ht="15" customHeight="1" s="18">
      <c r="A180" s="44" t="n">
        <v>46449</v>
      </c>
      <c r="B180" s="45" t="inlineStr">
        <is>
          <t>Normal</t>
        </is>
      </c>
      <c r="C180" s="40">
        <f>C179+IF(G179="",F179,G179)</f>
        <v/>
      </c>
      <c r="D180" s="40">
        <f>IF(C180&gt;=TotalStations,"Terminé",INDEX($A$9:$A$38,MATCH(SUMPRODUCT(($A$9:$A$38&lt;&gt;"")*($F$9:$F$38&lt;=C180))+1,$G$9:$G$38,0)))</f>
        <v/>
      </c>
      <c r="E180" s="40">
        <f>IF(C180&gt;=TotalStations,"",INDEX($C$9:$C$38,MATCH(SUMPRODUCT(($A$9:$A$38&lt;&gt;"")*($F$9:$F$38&lt;=C180))+1,$G$9:$G$38,0)))</f>
        <v/>
      </c>
      <c r="F180" s="40">
        <f>IF(C180&gt;=TotalStations,0,IF(OR(B180="Dédié",$B$3="Plein temps (7h)"),MIN(FLOOR(420/E180,1),TotalStations-C180),MIN(VALUE($B$3),TotalStations-C180)))</f>
        <v/>
      </c>
      <c r="G180" s="38" t="n"/>
      <c r="H180" s="40">
        <f>IF(G180="","",G180-F180)</f>
        <v/>
      </c>
      <c r="I180" s="40">
        <f>SUM($H$48:H180)</f>
        <v/>
      </c>
      <c r="J180" s="40">
        <f>C180+F180</f>
        <v/>
      </c>
    </row>
    <row r="181" hidden="1" outlineLevel="1" ht="15" customHeight="1" s="18">
      <c r="A181" s="44" t="n">
        <v>46450</v>
      </c>
      <c r="B181" s="45" t="inlineStr">
        <is>
          <t>Normal</t>
        </is>
      </c>
      <c r="C181" s="40">
        <f>C180+IF(G180="",F180,G180)</f>
        <v/>
      </c>
      <c r="D181" s="40">
        <f>IF(C181&gt;=TotalStations,"Terminé",INDEX($A$9:$A$38,MATCH(SUMPRODUCT(($A$9:$A$38&lt;&gt;"")*($F$9:$F$38&lt;=C181))+1,$G$9:$G$38,0)))</f>
        <v/>
      </c>
      <c r="E181" s="40">
        <f>IF(C181&gt;=TotalStations,"",INDEX($C$9:$C$38,MATCH(SUMPRODUCT(($A$9:$A$38&lt;&gt;"")*($F$9:$F$38&lt;=C181))+1,$G$9:$G$38,0)))</f>
        <v/>
      </c>
      <c r="F181" s="40">
        <f>IF(C181&gt;=TotalStations,0,IF(OR(B181="Dédié",$B$3="Plein temps (7h)"),MIN(FLOOR(420/E181,1),TotalStations-C181),MIN(VALUE($B$3),TotalStations-C181)))</f>
        <v/>
      </c>
      <c r="G181" s="38" t="n"/>
      <c r="H181" s="40">
        <f>IF(G181="","",G181-F181)</f>
        <v/>
      </c>
      <c r="I181" s="40">
        <f>SUM($H$48:H181)</f>
        <v/>
      </c>
      <c r="J181" s="40">
        <f>C181+F181</f>
        <v/>
      </c>
    </row>
    <row r="182" hidden="1" outlineLevel="1" ht="15" customHeight="1" s="18">
      <c r="A182" s="44" t="n">
        <v>46451</v>
      </c>
      <c r="B182" s="45" t="inlineStr">
        <is>
          <t>Normal</t>
        </is>
      </c>
      <c r="C182" s="40">
        <f>C181+IF(G181="",F181,G181)</f>
        <v/>
      </c>
      <c r="D182" s="40">
        <f>IF(C182&gt;=TotalStations,"Terminé",INDEX($A$9:$A$38,MATCH(SUMPRODUCT(($A$9:$A$38&lt;&gt;"")*($F$9:$F$38&lt;=C182))+1,$G$9:$G$38,0)))</f>
        <v/>
      </c>
      <c r="E182" s="40">
        <f>IF(C182&gt;=TotalStations,"",INDEX($C$9:$C$38,MATCH(SUMPRODUCT(($A$9:$A$38&lt;&gt;"")*($F$9:$F$38&lt;=C182))+1,$G$9:$G$38,0)))</f>
        <v/>
      </c>
      <c r="F182" s="40">
        <f>IF(C182&gt;=TotalStations,0,IF(OR(B182="Dédié",$B$3="Plein temps (7h)"),MIN(FLOOR(420/E182,1),TotalStations-C182),MIN(VALUE($B$3),TotalStations-C182)))</f>
        <v/>
      </c>
      <c r="G182" s="38" t="n"/>
      <c r="H182" s="40">
        <f>IF(G182="","",G182-F182)</f>
        <v/>
      </c>
      <c r="I182" s="40">
        <f>SUM($H$48:H182)</f>
        <v/>
      </c>
      <c r="J182" s="40">
        <f>C182+F182</f>
        <v/>
      </c>
    </row>
    <row r="183" hidden="1" outlineLevel="1" ht="15" customHeight="1" s="18">
      <c r="A183" s="44" t="n">
        <v>46454</v>
      </c>
      <c r="B183" s="45" t="inlineStr">
        <is>
          <t>Normal</t>
        </is>
      </c>
      <c r="C183" s="40">
        <f>C182+IF(G182="",F182,G182)</f>
        <v/>
      </c>
      <c r="D183" s="40">
        <f>IF(C183&gt;=TotalStations,"Terminé",INDEX($A$9:$A$38,MATCH(SUMPRODUCT(($A$9:$A$38&lt;&gt;"")*($F$9:$F$38&lt;=C183))+1,$G$9:$G$38,0)))</f>
        <v/>
      </c>
      <c r="E183" s="40">
        <f>IF(C183&gt;=TotalStations,"",INDEX($C$9:$C$38,MATCH(SUMPRODUCT(($A$9:$A$38&lt;&gt;"")*($F$9:$F$38&lt;=C183))+1,$G$9:$G$38,0)))</f>
        <v/>
      </c>
      <c r="F183" s="40">
        <f>IF(C183&gt;=TotalStations,0,IF(OR(B183="Dédié",$B$3="Plein temps (7h)"),MIN(FLOOR(420/E183,1),TotalStations-C183),MIN(VALUE($B$3),TotalStations-C183)))</f>
        <v/>
      </c>
      <c r="G183" s="38" t="n"/>
      <c r="H183" s="40">
        <f>IF(G183="","",G183-F183)</f>
        <v/>
      </c>
      <c r="I183" s="40">
        <f>SUM($H$48:H183)</f>
        <v/>
      </c>
      <c r="J183" s="40">
        <f>C183+F183</f>
        <v/>
      </c>
    </row>
    <row r="184" hidden="1" outlineLevel="1" ht="15" customHeight="1" s="18">
      <c r="A184" s="44" t="n">
        <v>46455</v>
      </c>
      <c r="B184" s="45" t="inlineStr">
        <is>
          <t>Normal</t>
        </is>
      </c>
      <c r="C184" s="40">
        <f>C183+IF(G183="",F183,G183)</f>
        <v/>
      </c>
      <c r="D184" s="40">
        <f>IF(C184&gt;=TotalStations,"Terminé",INDEX($A$9:$A$38,MATCH(SUMPRODUCT(($A$9:$A$38&lt;&gt;"")*($F$9:$F$38&lt;=C184))+1,$G$9:$G$38,0)))</f>
        <v/>
      </c>
      <c r="E184" s="40">
        <f>IF(C184&gt;=TotalStations,"",INDEX($C$9:$C$38,MATCH(SUMPRODUCT(($A$9:$A$38&lt;&gt;"")*($F$9:$F$38&lt;=C184))+1,$G$9:$G$38,0)))</f>
        <v/>
      </c>
      <c r="F184" s="40">
        <f>IF(C184&gt;=TotalStations,0,IF(OR(B184="Dédié",$B$3="Plein temps (7h)"),MIN(FLOOR(420/E184,1),TotalStations-C184),MIN(VALUE($B$3),TotalStations-C184)))</f>
        <v/>
      </c>
      <c r="G184" s="38" t="n"/>
      <c r="H184" s="40">
        <f>IF(G184="","",G184-F184)</f>
        <v/>
      </c>
      <c r="I184" s="40">
        <f>SUM($H$48:H184)</f>
        <v/>
      </c>
      <c r="J184" s="40">
        <f>C184+F184</f>
        <v/>
      </c>
    </row>
    <row r="185" hidden="1" outlineLevel="1" ht="15" customHeight="1" s="18">
      <c r="A185" s="44" t="n">
        <v>46456</v>
      </c>
      <c r="B185" s="45" t="inlineStr">
        <is>
          <t>Normal</t>
        </is>
      </c>
      <c r="C185" s="40">
        <f>C184+IF(G184="",F184,G184)</f>
        <v/>
      </c>
      <c r="D185" s="40">
        <f>IF(C185&gt;=TotalStations,"Terminé",INDEX($A$9:$A$38,MATCH(SUMPRODUCT(($A$9:$A$38&lt;&gt;"")*($F$9:$F$38&lt;=C185))+1,$G$9:$G$38,0)))</f>
        <v/>
      </c>
      <c r="E185" s="40">
        <f>IF(C185&gt;=TotalStations,"",INDEX($C$9:$C$38,MATCH(SUMPRODUCT(($A$9:$A$38&lt;&gt;"")*($F$9:$F$38&lt;=C185))+1,$G$9:$G$38,0)))</f>
        <v/>
      </c>
      <c r="F185" s="40">
        <f>IF(C185&gt;=TotalStations,0,IF(OR(B185="Dédié",$B$3="Plein temps (7h)"),MIN(FLOOR(420/E185,1),TotalStations-C185),MIN(VALUE($B$3),TotalStations-C185)))</f>
        <v/>
      </c>
      <c r="G185" s="38" t="n"/>
      <c r="H185" s="40">
        <f>IF(G185="","",G185-F185)</f>
        <v/>
      </c>
      <c r="I185" s="40">
        <f>SUM($H$48:H185)</f>
        <v/>
      </c>
      <c r="J185" s="40">
        <f>C185+F185</f>
        <v/>
      </c>
    </row>
    <row r="186" hidden="1" outlineLevel="1" ht="15" customHeight="1" s="18">
      <c r="A186" s="44" t="n">
        <v>46457</v>
      </c>
      <c r="B186" s="45" t="inlineStr">
        <is>
          <t>Normal</t>
        </is>
      </c>
      <c r="C186" s="40">
        <f>C185+IF(G185="",F185,G185)</f>
        <v/>
      </c>
      <c r="D186" s="40">
        <f>IF(C186&gt;=TotalStations,"Terminé",INDEX($A$9:$A$38,MATCH(SUMPRODUCT(($A$9:$A$38&lt;&gt;"")*($F$9:$F$38&lt;=C186))+1,$G$9:$G$38,0)))</f>
        <v/>
      </c>
      <c r="E186" s="40">
        <f>IF(C186&gt;=TotalStations,"",INDEX($C$9:$C$38,MATCH(SUMPRODUCT(($A$9:$A$38&lt;&gt;"")*($F$9:$F$38&lt;=C186))+1,$G$9:$G$38,0)))</f>
        <v/>
      </c>
      <c r="F186" s="40">
        <f>IF(C186&gt;=TotalStations,0,IF(OR(B186="Dédié",$B$3="Plein temps (7h)"),MIN(FLOOR(420/E186,1),TotalStations-C186),MIN(VALUE($B$3),TotalStations-C186)))</f>
        <v/>
      </c>
      <c r="G186" s="38" t="n"/>
      <c r="H186" s="40">
        <f>IF(G186="","",G186-F186)</f>
        <v/>
      </c>
      <c r="I186" s="40">
        <f>SUM($H$48:H186)</f>
        <v/>
      </c>
      <c r="J186" s="40">
        <f>C186+F186</f>
        <v/>
      </c>
    </row>
    <row r="187" hidden="1" outlineLevel="1" ht="15" customHeight="1" s="18">
      <c r="A187" s="44" t="n">
        <v>46458</v>
      </c>
      <c r="B187" s="45" t="inlineStr">
        <is>
          <t>Normal</t>
        </is>
      </c>
      <c r="C187" s="40">
        <f>C186+IF(G186="",F186,G186)</f>
        <v/>
      </c>
      <c r="D187" s="40">
        <f>IF(C187&gt;=TotalStations,"Terminé",INDEX($A$9:$A$38,MATCH(SUMPRODUCT(($A$9:$A$38&lt;&gt;"")*($F$9:$F$38&lt;=C187))+1,$G$9:$G$38,0)))</f>
        <v/>
      </c>
      <c r="E187" s="40">
        <f>IF(C187&gt;=TotalStations,"",INDEX($C$9:$C$38,MATCH(SUMPRODUCT(($A$9:$A$38&lt;&gt;"")*($F$9:$F$38&lt;=C187))+1,$G$9:$G$38,0)))</f>
        <v/>
      </c>
      <c r="F187" s="40">
        <f>IF(C187&gt;=TotalStations,0,IF(OR(B187="Dédié",$B$3="Plein temps (7h)"),MIN(FLOOR(420/E187,1),TotalStations-C187),MIN(VALUE($B$3),TotalStations-C187)))</f>
        <v/>
      </c>
      <c r="G187" s="38" t="n"/>
      <c r="H187" s="40">
        <f>IF(G187="","",G187-F187)</f>
        <v/>
      </c>
      <c r="I187" s="40">
        <f>SUM($H$48:H187)</f>
        <v/>
      </c>
      <c r="J187" s="40">
        <f>C187+F187</f>
        <v/>
      </c>
    </row>
    <row r="188" hidden="1" outlineLevel="1" ht="15" customHeight="1" s="18">
      <c r="A188" s="44" t="n">
        <v>46461</v>
      </c>
      <c r="B188" s="45" t="inlineStr">
        <is>
          <t>Normal</t>
        </is>
      </c>
      <c r="C188" s="40">
        <f>C187+IF(G187="",F187,G187)</f>
        <v/>
      </c>
      <c r="D188" s="40">
        <f>IF(C188&gt;=TotalStations,"Terminé",INDEX($A$9:$A$38,MATCH(SUMPRODUCT(($A$9:$A$38&lt;&gt;"")*($F$9:$F$38&lt;=C188))+1,$G$9:$G$38,0)))</f>
        <v/>
      </c>
      <c r="E188" s="40">
        <f>IF(C188&gt;=TotalStations,"",INDEX($C$9:$C$38,MATCH(SUMPRODUCT(($A$9:$A$38&lt;&gt;"")*($F$9:$F$38&lt;=C188))+1,$G$9:$G$38,0)))</f>
        <v/>
      </c>
      <c r="F188" s="40">
        <f>IF(C188&gt;=TotalStations,0,IF(OR(B188="Dédié",$B$3="Plein temps (7h)"),MIN(FLOOR(420/E188,1),TotalStations-C188),MIN(VALUE($B$3),TotalStations-C188)))</f>
        <v/>
      </c>
      <c r="G188" s="38" t="n"/>
      <c r="H188" s="40">
        <f>IF(G188="","",G188-F188)</f>
        <v/>
      </c>
      <c r="I188" s="40">
        <f>SUM($H$48:H188)</f>
        <v/>
      </c>
      <c r="J188" s="40">
        <f>C188+F188</f>
        <v/>
      </c>
    </row>
    <row r="189" hidden="1" outlineLevel="1" ht="15" customHeight="1" s="18">
      <c r="A189" s="44" t="n">
        <v>46462</v>
      </c>
      <c r="B189" s="45" t="inlineStr">
        <is>
          <t>Normal</t>
        </is>
      </c>
      <c r="C189" s="40">
        <f>C188+IF(G188="",F188,G188)</f>
        <v/>
      </c>
      <c r="D189" s="40">
        <f>IF(C189&gt;=TotalStations,"Terminé",INDEX($A$9:$A$38,MATCH(SUMPRODUCT(($A$9:$A$38&lt;&gt;"")*($F$9:$F$38&lt;=C189))+1,$G$9:$G$38,0)))</f>
        <v/>
      </c>
      <c r="E189" s="40">
        <f>IF(C189&gt;=TotalStations,"",INDEX($C$9:$C$38,MATCH(SUMPRODUCT(($A$9:$A$38&lt;&gt;"")*($F$9:$F$38&lt;=C189))+1,$G$9:$G$38,0)))</f>
        <v/>
      </c>
      <c r="F189" s="40">
        <f>IF(C189&gt;=TotalStations,0,IF(OR(B189="Dédié",$B$3="Plein temps (7h)"),MIN(FLOOR(420/E189,1),TotalStations-C189),MIN(VALUE($B$3),TotalStations-C189)))</f>
        <v/>
      </c>
      <c r="G189" s="38" t="n"/>
      <c r="H189" s="40">
        <f>IF(G189="","",G189-F189)</f>
        <v/>
      </c>
      <c r="I189" s="40">
        <f>SUM($H$48:H189)</f>
        <v/>
      </c>
      <c r="J189" s="40">
        <f>C189+F189</f>
        <v/>
      </c>
    </row>
    <row r="190" hidden="1" outlineLevel="1" ht="15" customHeight="1" s="18">
      <c r="A190" s="44" t="n">
        <v>46463</v>
      </c>
      <c r="B190" s="45" t="inlineStr">
        <is>
          <t>Normal</t>
        </is>
      </c>
      <c r="C190" s="40">
        <f>C189+IF(G189="",F189,G189)</f>
        <v/>
      </c>
      <c r="D190" s="40">
        <f>IF(C190&gt;=TotalStations,"Terminé",INDEX($A$9:$A$38,MATCH(SUMPRODUCT(($A$9:$A$38&lt;&gt;"")*($F$9:$F$38&lt;=C190))+1,$G$9:$G$38,0)))</f>
        <v/>
      </c>
      <c r="E190" s="40">
        <f>IF(C190&gt;=TotalStations,"",INDEX($C$9:$C$38,MATCH(SUMPRODUCT(($A$9:$A$38&lt;&gt;"")*($F$9:$F$38&lt;=C190))+1,$G$9:$G$38,0)))</f>
        <v/>
      </c>
      <c r="F190" s="40">
        <f>IF(C190&gt;=TotalStations,0,IF(OR(B190="Dédié",$B$3="Plein temps (7h)"),MIN(FLOOR(420/E190,1),TotalStations-C190),MIN(VALUE($B$3),TotalStations-C190)))</f>
        <v/>
      </c>
      <c r="G190" s="38" t="n"/>
      <c r="H190" s="40">
        <f>IF(G190="","",G190-F190)</f>
        <v/>
      </c>
      <c r="I190" s="40">
        <f>SUM($H$48:H190)</f>
        <v/>
      </c>
      <c r="J190" s="40">
        <f>C190+F190</f>
        <v/>
      </c>
    </row>
    <row r="191" hidden="1" outlineLevel="1" ht="15" customHeight="1" s="18">
      <c r="A191" s="44" t="n">
        <v>46464</v>
      </c>
      <c r="B191" s="45" t="inlineStr">
        <is>
          <t>Normal</t>
        </is>
      </c>
      <c r="C191" s="40">
        <f>C190+IF(G190="",F190,G190)</f>
        <v/>
      </c>
      <c r="D191" s="40">
        <f>IF(C191&gt;=TotalStations,"Terminé",INDEX($A$9:$A$38,MATCH(SUMPRODUCT(($A$9:$A$38&lt;&gt;"")*($F$9:$F$38&lt;=C191))+1,$G$9:$G$38,0)))</f>
        <v/>
      </c>
      <c r="E191" s="40">
        <f>IF(C191&gt;=TotalStations,"",INDEX($C$9:$C$38,MATCH(SUMPRODUCT(($A$9:$A$38&lt;&gt;"")*($F$9:$F$38&lt;=C191))+1,$G$9:$G$38,0)))</f>
        <v/>
      </c>
      <c r="F191" s="40">
        <f>IF(C191&gt;=TotalStations,0,IF(OR(B191="Dédié",$B$3="Plein temps (7h)"),MIN(FLOOR(420/E191,1),TotalStations-C191),MIN(VALUE($B$3),TotalStations-C191)))</f>
        <v/>
      </c>
      <c r="G191" s="38" t="n"/>
      <c r="H191" s="40">
        <f>IF(G191="","",G191-F191)</f>
        <v/>
      </c>
      <c r="I191" s="40">
        <f>SUM($H$48:H191)</f>
        <v/>
      </c>
      <c r="J191" s="40">
        <f>C191+F191</f>
        <v/>
      </c>
    </row>
    <row r="192" hidden="1" outlineLevel="1" ht="15" customHeight="1" s="18">
      <c r="A192" s="44" t="n">
        <v>46465</v>
      </c>
      <c r="B192" s="45" t="inlineStr">
        <is>
          <t>Normal</t>
        </is>
      </c>
      <c r="C192" s="40">
        <f>C191+IF(G191="",F191,G191)</f>
        <v/>
      </c>
      <c r="D192" s="40">
        <f>IF(C192&gt;=TotalStations,"Terminé",INDEX($A$9:$A$38,MATCH(SUMPRODUCT(($A$9:$A$38&lt;&gt;"")*($F$9:$F$38&lt;=C192))+1,$G$9:$G$38,0)))</f>
        <v/>
      </c>
      <c r="E192" s="40">
        <f>IF(C192&gt;=TotalStations,"",INDEX($C$9:$C$38,MATCH(SUMPRODUCT(($A$9:$A$38&lt;&gt;"")*($F$9:$F$38&lt;=C192))+1,$G$9:$G$38,0)))</f>
        <v/>
      </c>
      <c r="F192" s="40">
        <f>IF(C192&gt;=TotalStations,0,IF(OR(B192="Dédié",$B$3="Plein temps (7h)"),MIN(FLOOR(420/E192,1),TotalStations-C192),MIN(VALUE($B$3),TotalStations-C192)))</f>
        <v/>
      </c>
      <c r="G192" s="38" t="n"/>
      <c r="H192" s="40">
        <f>IF(G192="","",G192-F192)</f>
        <v/>
      </c>
      <c r="I192" s="40">
        <f>SUM($H$48:H192)</f>
        <v/>
      </c>
      <c r="J192" s="40">
        <f>C192+F192</f>
        <v/>
      </c>
    </row>
    <row r="193" hidden="1" outlineLevel="1" ht="15" customHeight="1" s="18">
      <c r="A193" s="44" t="n">
        <v>46468</v>
      </c>
      <c r="B193" s="45" t="inlineStr">
        <is>
          <t>Normal</t>
        </is>
      </c>
      <c r="C193" s="40">
        <f>C192+IF(G192="",F192,G192)</f>
        <v/>
      </c>
      <c r="D193" s="40">
        <f>IF(C193&gt;=TotalStations,"Terminé",INDEX($A$9:$A$38,MATCH(SUMPRODUCT(($A$9:$A$38&lt;&gt;"")*($F$9:$F$38&lt;=C193))+1,$G$9:$G$38,0)))</f>
        <v/>
      </c>
      <c r="E193" s="40">
        <f>IF(C193&gt;=TotalStations,"",INDEX($C$9:$C$38,MATCH(SUMPRODUCT(($A$9:$A$38&lt;&gt;"")*($F$9:$F$38&lt;=C193))+1,$G$9:$G$38,0)))</f>
        <v/>
      </c>
      <c r="F193" s="40">
        <f>IF(C193&gt;=TotalStations,0,IF(OR(B193="Dédié",$B$3="Plein temps (7h)"),MIN(FLOOR(420/E193,1),TotalStations-C193),MIN(VALUE($B$3),TotalStations-C193)))</f>
        <v/>
      </c>
      <c r="G193" s="38" t="n"/>
      <c r="H193" s="40">
        <f>IF(G193="","",G193-F193)</f>
        <v/>
      </c>
      <c r="I193" s="40">
        <f>SUM($H$48:H193)</f>
        <v/>
      </c>
      <c r="J193" s="40">
        <f>C193+F193</f>
        <v/>
      </c>
    </row>
    <row r="194" hidden="1" outlineLevel="1" ht="15" customHeight="1" s="18">
      <c r="A194" s="44" t="n">
        <v>46469</v>
      </c>
      <c r="B194" s="45" t="inlineStr">
        <is>
          <t>Normal</t>
        </is>
      </c>
      <c r="C194" s="40">
        <f>C193+IF(G193="",F193,G193)</f>
        <v/>
      </c>
      <c r="D194" s="40">
        <f>IF(C194&gt;=TotalStations,"Terminé",INDEX($A$9:$A$38,MATCH(SUMPRODUCT(($A$9:$A$38&lt;&gt;"")*($F$9:$F$38&lt;=C194))+1,$G$9:$G$38,0)))</f>
        <v/>
      </c>
      <c r="E194" s="40">
        <f>IF(C194&gt;=TotalStations,"",INDEX($C$9:$C$38,MATCH(SUMPRODUCT(($A$9:$A$38&lt;&gt;"")*($F$9:$F$38&lt;=C194))+1,$G$9:$G$38,0)))</f>
        <v/>
      </c>
      <c r="F194" s="40">
        <f>IF(C194&gt;=TotalStations,0,IF(OR(B194="Dédié",$B$3="Plein temps (7h)"),MIN(FLOOR(420/E194,1),TotalStations-C194),MIN(VALUE($B$3),TotalStations-C194)))</f>
        <v/>
      </c>
      <c r="G194" s="38" t="n"/>
      <c r="H194" s="40">
        <f>IF(G194="","",G194-F194)</f>
        <v/>
      </c>
      <c r="I194" s="40">
        <f>SUM($H$48:H194)</f>
        <v/>
      </c>
      <c r="J194" s="40">
        <f>C194+F194</f>
        <v/>
      </c>
    </row>
    <row r="195" hidden="1" outlineLevel="1" ht="15" customHeight="1" s="18">
      <c r="A195" s="44" t="n">
        <v>46470</v>
      </c>
      <c r="B195" s="45" t="inlineStr">
        <is>
          <t>Normal</t>
        </is>
      </c>
      <c r="C195" s="40">
        <f>C194+IF(G194="",F194,G194)</f>
        <v/>
      </c>
      <c r="D195" s="40">
        <f>IF(C195&gt;=TotalStations,"Terminé",INDEX($A$9:$A$38,MATCH(SUMPRODUCT(($A$9:$A$38&lt;&gt;"")*($F$9:$F$38&lt;=C195))+1,$G$9:$G$38,0)))</f>
        <v/>
      </c>
      <c r="E195" s="40">
        <f>IF(C195&gt;=TotalStations,"",INDEX($C$9:$C$38,MATCH(SUMPRODUCT(($A$9:$A$38&lt;&gt;"")*($F$9:$F$38&lt;=C195))+1,$G$9:$G$38,0)))</f>
        <v/>
      </c>
      <c r="F195" s="40">
        <f>IF(C195&gt;=TotalStations,0,IF(OR(B195="Dédié",$B$3="Plein temps (7h)"),MIN(FLOOR(420/E195,1),TotalStations-C195),MIN(VALUE($B$3),TotalStations-C195)))</f>
        <v/>
      </c>
      <c r="G195" s="38" t="n"/>
      <c r="H195" s="40">
        <f>IF(G195="","",G195-F195)</f>
        <v/>
      </c>
      <c r="I195" s="40">
        <f>SUM($H$48:H195)</f>
        <v/>
      </c>
      <c r="J195" s="40">
        <f>C195+F195</f>
        <v/>
      </c>
    </row>
    <row r="196" hidden="1" outlineLevel="1" ht="15" customHeight="1" s="18">
      <c r="A196" s="44" t="n">
        <v>46471</v>
      </c>
      <c r="B196" s="45" t="inlineStr">
        <is>
          <t>Normal</t>
        </is>
      </c>
      <c r="C196" s="40">
        <f>C195+IF(G195="",F195,G195)</f>
        <v/>
      </c>
      <c r="D196" s="40">
        <f>IF(C196&gt;=TotalStations,"Terminé",INDEX($A$9:$A$38,MATCH(SUMPRODUCT(($A$9:$A$38&lt;&gt;"")*($F$9:$F$38&lt;=C196))+1,$G$9:$G$38,0)))</f>
        <v/>
      </c>
      <c r="E196" s="40">
        <f>IF(C196&gt;=TotalStations,"",INDEX($C$9:$C$38,MATCH(SUMPRODUCT(($A$9:$A$38&lt;&gt;"")*($F$9:$F$38&lt;=C196))+1,$G$9:$G$38,0)))</f>
        <v/>
      </c>
      <c r="F196" s="40">
        <f>IF(C196&gt;=TotalStations,0,IF(OR(B196="Dédié",$B$3="Plein temps (7h)"),MIN(FLOOR(420/E196,1),TotalStations-C196),MIN(VALUE($B$3),TotalStations-C196)))</f>
        <v/>
      </c>
      <c r="G196" s="38" t="n"/>
      <c r="H196" s="40">
        <f>IF(G196="","",G196-F196)</f>
        <v/>
      </c>
      <c r="I196" s="40">
        <f>SUM($H$48:H196)</f>
        <v/>
      </c>
      <c r="J196" s="40">
        <f>C196+F196</f>
        <v/>
      </c>
    </row>
    <row r="197" hidden="1" outlineLevel="1" ht="15" customHeight="1" s="18">
      <c r="A197" s="44" t="n">
        <v>46472</v>
      </c>
      <c r="B197" s="45" t="inlineStr">
        <is>
          <t>Normal</t>
        </is>
      </c>
      <c r="C197" s="40">
        <f>C196+IF(G196="",F196,G196)</f>
        <v/>
      </c>
      <c r="D197" s="40">
        <f>IF(C197&gt;=TotalStations,"Terminé",INDEX($A$9:$A$38,MATCH(SUMPRODUCT(($A$9:$A$38&lt;&gt;"")*($F$9:$F$38&lt;=C197))+1,$G$9:$G$38,0)))</f>
        <v/>
      </c>
      <c r="E197" s="40">
        <f>IF(C197&gt;=TotalStations,"",INDEX($C$9:$C$38,MATCH(SUMPRODUCT(($A$9:$A$38&lt;&gt;"")*($F$9:$F$38&lt;=C197))+1,$G$9:$G$38,0)))</f>
        <v/>
      </c>
      <c r="F197" s="40">
        <f>IF(C197&gt;=TotalStations,0,IF(OR(B197="Dédié",$B$3="Plein temps (7h)"),MIN(FLOOR(420/E197,1),TotalStations-C197),MIN(VALUE($B$3),TotalStations-C197)))</f>
        <v/>
      </c>
      <c r="G197" s="38" t="n"/>
      <c r="H197" s="40">
        <f>IF(G197="","",G197-F197)</f>
        <v/>
      </c>
      <c r="I197" s="40">
        <f>SUM($H$48:H197)</f>
        <v/>
      </c>
      <c r="J197" s="40">
        <f>C197+F197</f>
        <v/>
      </c>
    </row>
    <row r="198" hidden="1" outlineLevel="1" ht="15" customHeight="1" s="18">
      <c r="A198" s="44" t="n">
        <v>46475</v>
      </c>
      <c r="B198" s="45" t="inlineStr">
        <is>
          <t>Normal</t>
        </is>
      </c>
      <c r="C198" s="40">
        <f>C197+IF(G197="",F197,G197)</f>
        <v/>
      </c>
      <c r="D198" s="40">
        <f>IF(C198&gt;=TotalStations,"Terminé",INDEX($A$9:$A$38,MATCH(SUMPRODUCT(($A$9:$A$38&lt;&gt;"")*($F$9:$F$38&lt;=C198))+1,$G$9:$G$38,0)))</f>
        <v/>
      </c>
      <c r="E198" s="40">
        <f>IF(C198&gt;=TotalStations,"",INDEX($C$9:$C$38,MATCH(SUMPRODUCT(($A$9:$A$38&lt;&gt;"")*($F$9:$F$38&lt;=C198))+1,$G$9:$G$38,0)))</f>
        <v/>
      </c>
      <c r="F198" s="40">
        <f>IF(C198&gt;=TotalStations,0,IF(OR(B198="Dédié",$B$3="Plein temps (7h)"),MIN(FLOOR(420/E198,1),TotalStations-C198),MIN(VALUE($B$3),TotalStations-C198)))</f>
        <v/>
      </c>
      <c r="G198" s="38" t="n"/>
      <c r="H198" s="40">
        <f>IF(G198="","",G198-F198)</f>
        <v/>
      </c>
      <c r="I198" s="40">
        <f>SUM($H$48:H198)</f>
        <v/>
      </c>
      <c r="J198" s="40">
        <f>C198+F198</f>
        <v/>
      </c>
    </row>
    <row r="199" hidden="1" outlineLevel="1" ht="15" customHeight="1" s="18">
      <c r="A199" s="44" t="n">
        <v>46476</v>
      </c>
      <c r="B199" s="45" t="inlineStr">
        <is>
          <t>Normal</t>
        </is>
      </c>
      <c r="C199" s="40">
        <f>C198+IF(G198="",F198,G198)</f>
        <v/>
      </c>
      <c r="D199" s="40">
        <f>IF(C199&gt;=TotalStations,"Terminé",INDEX($A$9:$A$38,MATCH(SUMPRODUCT(($A$9:$A$38&lt;&gt;"")*($F$9:$F$38&lt;=C199))+1,$G$9:$G$38,0)))</f>
        <v/>
      </c>
      <c r="E199" s="40">
        <f>IF(C199&gt;=TotalStations,"",INDEX($C$9:$C$38,MATCH(SUMPRODUCT(($A$9:$A$38&lt;&gt;"")*($F$9:$F$38&lt;=C199))+1,$G$9:$G$38,0)))</f>
        <v/>
      </c>
      <c r="F199" s="40">
        <f>IF(C199&gt;=TotalStations,0,IF(OR(B199="Dédié",$B$3="Plein temps (7h)"),MIN(FLOOR(420/E199,1),TotalStations-C199),MIN(VALUE($B$3),TotalStations-C199)))</f>
        <v/>
      </c>
      <c r="G199" s="38" t="n"/>
      <c r="H199" s="40">
        <f>IF(G199="","",G199-F199)</f>
        <v/>
      </c>
      <c r="I199" s="40">
        <f>SUM($H$48:H199)</f>
        <v/>
      </c>
      <c r="J199" s="40">
        <f>C199+F199</f>
        <v/>
      </c>
    </row>
    <row r="200" hidden="1" outlineLevel="1" ht="15" customHeight="1" s="18">
      <c r="A200" s="44" t="n">
        <v>46477</v>
      </c>
      <c r="B200" s="45" t="inlineStr">
        <is>
          <t>Normal</t>
        </is>
      </c>
      <c r="C200" s="40">
        <f>C199+IF(G199="",F199,G199)</f>
        <v/>
      </c>
      <c r="D200" s="40">
        <f>IF(C200&gt;=TotalStations,"Terminé",INDEX($A$9:$A$38,MATCH(SUMPRODUCT(($A$9:$A$38&lt;&gt;"")*($F$9:$F$38&lt;=C200))+1,$G$9:$G$38,0)))</f>
        <v/>
      </c>
      <c r="E200" s="40">
        <f>IF(C200&gt;=TotalStations,"",INDEX($C$9:$C$38,MATCH(SUMPRODUCT(($A$9:$A$38&lt;&gt;"")*($F$9:$F$38&lt;=C200))+1,$G$9:$G$38,0)))</f>
        <v/>
      </c>
      <c r="F200" s="40">
        <f>IF(C200&gt;=TotalStations,0,IF(OR(B200="Dédié",$B$3="Plein temps (7h)"),MIN(FLOOR(420/E200,1),TotalStations-C200),MIN(VALUE($B$3),TotalStations-C200)))</f>
        <v/>
      </c>
      <c r="G200" s="38" t="n"/>
      <c r="H200" s="40">
        <f>IF(G200="","",G200-F200)</f>
        <v/>
      </c>
      <c r="I200" s="40">
        <f>SUM($H$48:H200)</f>
        <v/>
      </c>
      <c r="J200" s="40">
        <f>C200+F200</f>
        <v/>
      </c>
    </row>
    <row r="201" hidden="1" outlineLevel="1" ht="15" customHeight="1" s="18">
      <c r="A201" s="44" t="n">
        <v>46478</v>
      </c>
      <c r="B201" s="45" t="inlineStr">
        <is>
          <t>Normal</t>
        </is>
      </c>
      <c r="C201" s="40">
        <f>C200+IF(G200="",F200,G200)</f>
        <v/>
      </c>
      <c r="D201" s="40">
        <f>IF(C201&gt;=TotalStations,"Terminé",INDEX($A$9:$A$38,MATCH(SUMPRODUCT(($A$9:$A$38&lt;&gt;"")*($F$9:$F$38&lt;=C201))+1,$G$9:$G$38,0)))</f>
        <v/>
      </c>
      <c r="E201" s="40">
        <f>IF(C201&gt;=TotalStations,"",INDEX($C$9:$C$38,MATCH(SUMPRODUCT(($A$9:$A$38&lt;&gt;"")*($F$9:$F$38&lt;=C201))+1,$G$9:$G$38,0)))</f>
        <v/>
      </c>
      <c r="F201" s="40">
        <f>IF(C201&gt;=TotalStations,0,IF(OR(B201="Dédié",$B$3="Plein temps (7h)"),MIN(FLOOR(420/E201,1),TotalStations-C201),MIN(VALUE($B$3),TotalStations-C201)))</f>
        <v/>
      </c>
      <c r="G201" s="38" t="n"/>
      <c r="H201" s="40">
        <f>IF(G201="","",G201-F201)</f>
        <v/>
      </c>
      <c r="I201" s="40">
        <f>SUM($H$48:H201)</f>
        <v/>
      </c>
      <c r="J201" s="40">
        <f>C201+F201</f>
        <v/>
      </c>
    </row>
    <row r="202" hidden="1" outlineLevel="1" ht="15" customHeight="1" s="18">
      <c r="A202" s="44" t="n">
        <v>46479</v>
      </c>
      <c r="B202" s="45" t="inlineStr">
        <is>
          <t>Normal</t>
        </is>
      </c>
      <c r="C202" s="40">
        <f>C201+IF(G201="",F201,G201)</f>
        <v/>
      </c>
      <c r="D202" s="40">
        <f>IF(C202&gt;=TotalStations,"Terminé",INDEX($A$9:$A$38,MATCH(SUMPRODUCT(($A$9:$A$38&lt;&gt;"")*($F$9:$F$38&lt;=C202))+1,$G$9:$G$38,0)))</f>
        <v/>
      </c>
      <c r="E202" s="40">
        <f>IF(C202&gt;=TotalStations,"",INDEX($C$9:$C$38,MATCH(SUMPRODUCT(($A$9:$A$38&lt;&gt;"")*($F$9:$F$38&lt;=C202))+1,$G$9:$G$38,0)))</f>
        <v/>
      </c>
      <c r="F202" s="40">
        <f>IF(C202&gt;=TotalStations,0,IF(OR(B202="Dédié",$B$3="Plein temps (7h)"),MIN(FLOOR(420/E202,1),TotalStations-C202),MIN(VALUE($B$3),TotalStations-C202)))</f>
        <v/>
      </c>
      <c r="G202" s="38" t="n"/>
      <c r="H202" s="40">
        <f>IF(G202="","",G202-F202)</f>
        <v/>
      </c>
      <c r="I202" s="40">
        <f>SUM($H$48:H202)</f>
        <v/>
      </c>
      <c r="J202" s="40">
        <f>C202+F202</f>
        <v/>
      </c>
    </row>
    <row r="203" hidden="1" outlineLevel="1" ht="15" customHeight="1" s="18">
      <c r="A203" s="44" t="n">
        <v>46482</v>
      </c>
      <c r="B203" s="45" t="inlineStr">
        <is>
          <t>Normal</t>
        </is>
      </c>
      <c r="C203" s="40">
        <f>C202+IF(G202="",F202,G202)</f>
        <v/>
      </c>
      <c r="D203" s="40">
        <f>IF(C203&gt;=TotalStations,"Terminé",INDEX($A$9:$A$38,MATCH(SUMPRODUCT(($A$9:$A$38&lt;&gt;"")*($F$9:$F$38&lt;=C203))+1,$G$9:$G$38,0)))</f>
        <v/>
      </c>
      <c r="E203" s="40">
        <f>IF(C203&gt;=TotalStations,"",INDEX($C$9:$C$38,MATCH(SUMPRODUCT(($A$9:$A$38&lt;&gt;"")*($F$9:$F$38&lt;=C203))+1,$G$9:$G$38,0)))</f>
        <v/>
      </c>
      <c r="F203" s="40">
        <f>IF(C203&gt;=TotalStations,0,IF(OR(B203="Dédié",$B$3="Plein temps (7h)"),MIN(FLOOR(420/E203,1),TotalStations-C203),MIN(VALUE($B$3),TotalStations-C203)))</f>
        <v/>
      </c>
      <c r="G203" s="38" t="n"/>
      <c r="H203" s="40">
        <f>IF(G203="","",G203-F203)</f>
        <v/>
      </c>
      <c r="I203" s="40">
        <f>SUM($H$48:H203)</f>
        <v/>
      </c>
      <c r="J203" s="40">
        <f>C203+F203</f>
        <v/>
      </c>
    </row>
    <row r="204" hidden="1" outlineLevel="1" ht="15" customHeight="1" s="18">
      <c r="A204" s="44" t="n">
        <v>46483</v>
      </c>
      <c r="B204" s="45" t="inlineStr">
        <is>
          <t>Normal</t>
        </is>
      </c>
      <c r="C204" s="40">
        <f>C203+IF(G203="",F203,G203)</f>
        <v/>
      </c>
      <c r="D204" s="40">
        <f>IF(C204&gt;=TotalStations,"Terminé",INDEX($A$9:$A$38,MATCH(SUMPRODUCT(($A$9:$A$38&lt;&gt;"")*($F$9:$F$38&lt;=C204))+1,$G$9:$G$38,0)))</f>
        <v/>
      </c>
      <c r="E204" s="40">
        <f>IF(C204&gt;=TotalStations,"",INDEX($C$9:$C$38,MATCH(SUMPRODUCT(($A$9:$A$38&lt;&gt;"")*($F$9:$F$38&lt;=C204))+1,$G$9:$G$38,0)))</f>
        <v/>
      </c>
      <c r="F204" s="40">
        <f>IF(C204&gt;=TotalStations,0,IF(OR(B204="Dédié",$B$3="Plein temps (7h)"),MIN(FLOOR(420/E204,1),TotalStations-C204),MIN(VALUE($B$3),TotalStations-C204)))</f>
        <v/>
      </c>
      <c r="G204" s="38" t="n"/>
      <c r="H204" s="40">
        <f>IF(G204="","",G204-F204)</f>
        <v/>
      </c>
      <c r="I204" s="40">
        <f>SUM($H$48:H204)</f>
        <v/>
      </c>
      <c r="J204" s="40">
        <f>C204+F204</f>
        <v/>
      </c>
    </row>
    <row r="205" hidden="1" outlineLevel="1" ht="15" customHeight="1" s="18">
      <c r="A205" s="44" t="n">
        <v>46484</v>
      </c>
      <c r="B205" s="45" t="inlineStr">
        <is>
          <t>Normal</t>
        </is>
      </c>
      <c r="C205" s="40">
        <f>C204+IF(G204="",F204,G204)</f>
        <v/>
      </c>
      <c r="D205" s="40">
        <f>IF(C205&gt;=TotalStations,"Terminé",INDEX($A$9:$A$38,MATCH(SUMPRODUCT(($A$9:$A$38&lt;&gt;"")*($F$9:$F$38&lt;=C205))+1,$G$9:$G$38,0)))</f>
        <v/>
      </c>
      <c r="E205" s="40">
        <f>IF(C205&gt;=TotalStations,"",INDEX($C$9:$C$38,MATCH(SUMPRODUCT(($A$9:$A$38&lt;&gt;"")*($F$9:$F$38&lt;=C205))+1,$G$9:$G$38,0)))</f>
        <v/>
      </c>
      <c r="F205" s="40">
        <f>IF(C205&gt;=TotalStations,0,IF(OR(B205="Dédié",$B$3="Plein temps (7h)"),MIN(FLOOR(420/E205,1),TotalStations-C205),MIN(VALUE($B$3),TotalStations-C205)))</f>
        <v/>
      </c>
      <c r="G205" s="38" t="n"/>
      <c r="H205" s="40">
        <f>IF(G205="","",G205-F205)</f>
        <v/>
      </c>
      <c r="I205" s="40">
        <f>SUM($H$48:H205)</f>
        <v/>
      </c>
      <c r="J205" s="40">
        <f>C205+F205</f>
        <v/>
      </c>
    </row>
    <row r="206" hidden="1" outlineLevel="1" ht="15" customHeight="1" s="18">
      <c r="A206" s="44" t="n">
        <v>46485</v>
      </c>
      <c r="B206" s="45" t="inlineStr">
        <is>
          <t>Normal</t>
        </is>
      </c>
      <c r="C206" s="40">
        <f>C205+IF(G205="",F205,G205)</f>
        <v/>
      </c>
      <c r="D206" s="40">
        <f>IF(C206&gt;=TotalStations,"Terminé",INDEX($A$9:$A$38,MATCH(SUMPRODUCT(($A$9:$A$38&lt;&gt;"")*($F$9:$F$38&lt;=C206))+1,$G$9:$G$38,0)))</f>
        <v/>
      </c>
      <c r="E206" s="40">
        <f>IF(C206&gt;=TotalStations,"",INDEX($C$9:$C$38,MATCH(SUMPRODUCT(($A$9:$A$38&lt;&gt;"")*($F$9:$F$38&lt;=C206))+1,$G$9:$G$38,0)))</f>
        <v/>
      </c>
      <c r="F206" s="40">
        <f>IF(C206&gt;=TotalStations,0,IF(OR(B206="Dédié",$B$3="Plein temps (7h)"),MIN(FLOOR(420/E206,1),TotalStations-C206),MIN(VALUE($B$3),TotalStations-C206)))</f>
        <v/>
      </c>
      <c r="G206" s="38" t="n"/>
      <c r="H206" s="40">
        <f>IF(G206="","",G206-F206)</f>
        <v/>
      </c>
      <c r="I206" s="40">
        <f>SUM($H$48:H206)</f>
        <v/>
      </c>
      <c r="J206" s="40">
        <f>C206+F206</f>
        <v/>
      </c>
    </row>
    <row r="207" hidden="1" outlineLevel="1" ht="15" customHeight="1" s="18">
      <c r="A207" s="44" t="n">
        <v>46486</v>
      </c>
      <c r="B207" s="45" t="inlineStr">
        <is>
          <t>Normal</t>
        </is>
      </c>
      <c r="C207" s="40">
        <f>C206+IF(G206="",F206,G206)</f>
        <v/>
      </c>
      <c r="D207" s="40">
        <f>IF(C207&gt;=TotalStations,"Terminé",INDEX($A$9:$A$38,MATCH(SUMPRODUCT(($A$9:$A$38&lt;&gt;"")*($F$9:$F$38&lt;=C207))+1,$G$9:$G$38,0)))</f>
        <v/>
      </c>
      <c r="E207" s="40">
        <f>IF(C207&gt;=TotalStations,"",INDEX($C$9:$C$38,MATCH(SUMPRODUCT(($A$9:$A$38&lt;&gt;"")*($F$9:$F$38&lt;=C207))+1,$G$9:$G$38,0)))</f>
        <v/>
      </c>
      <c r="F207" s="40">
        <f>IF(C207&gt;=TotalStations,0,IF(OR(B207="Dédié",$B$3="Plein temps (7h)"),MIN(FLOOR(420/E207,1),TotalStations-C207),MIN(VALUE($B$3),TotalStations-C207)))</f>
        <v/>
      </c>
      <c r="G207" s="38" t="n"/>
      <c r="H207" s="40">
        <f>IF(G207="","",G207-F207)</f>
        <v/>
      </c>
      <c r="I207" s="40">
        <f>SUM($H$48:H207)</f>
        <v/>
      </c>
      <c r="J207" s="40">
        <f>C207+F207</f>
        <v/>
      </c>
    </row>
    <row r="208" hidden="1" outlineLevel="1" ht="15" customHeight="1" s="18">
      <c r="A208" s="44" t="n">
        <v>46489</v>
      </c>
      <c r="B208" s="45" t="inlineStr">
        <is>
          <t>Normal</t>
        </is>
      </c>
      <c r="C208" s="40">
        <f>C207+IF(G207="",F207,G207)</f>
        <v/>
      </c>
      <c r="D208" s="40">
        <f>IF(C208&gt;=TotalStations,"Terminé",INDEX($A$9:$A$38,MATCH(SUMPRODUCT(($A$9:$A$38&lt;&gt;"")*($F$9:$F$38&lt;=C208))+1,$G$9:$G$38,0)))</f>
        <v/>
      </c>
      <c r="E208" s="40">
        <f>IF(C208&gt;=TotalStations,"",INDEX($C$9:$C$38,MATCH(SUMPRODUCT(($A$9:$A$38&lt;&gt;"")*($F$9:$F$38&lt;=C208))+1,$G$9:$G$38,0)))</f>
        <v/>
      </c>
      <c r="F208" s="40">
        <f>IF(C208&gt;=TotalStations,0,IF(OR(B208="Dédié",$B$3="Plein temps (7h)"),MIN(FLOOR(420/E208,1),TotalStations-C208),MIN(VALUE($B$3),TotalStations-C208)))</f>
        <v/>
      </c>
      <c r="G208" s="38" t="n"/>
      <c r="H208" s="40">
        <f>IF(G208="","",G208-F208)</f>
        <v/>
      </c>
      <c r="I208" s="40">
        <f>SUM($H$48:H208)</f>
        <v/>
      </c>
      <c r="J208" s="40">
        <f>C208+F208</f>
        <v/>
      </c>
    </row>
    <row r="209" hidden="1" outlineLevel="1" ht="15" customHeight="1" s="18">
      <c r="A209" s="44" t="n">
        <v>46490</v>
      </c>
      <c r="B209" s="45" t="inlineStr">
        <is>
          <t>Normal</t>
        </is>
      </c>
      <c r="C209" s="40">
        <f>C208+IF(G208="",F208,G208)</f>
        <v/>
      </c>
      <c r="D209" s="40">
        <f>IF(C209&gt;=TotalStations,"Terminé",INDEX($A$9:$A$38,MATCH(SUMPRODUCT(($A$9:$A$38&lt;&gt;"")*($F$9:$F$38&lt;=C209))+1,$G$9:$G$38,0)))</f>
        <v/>
      </c>
      <c r="E209" s="40">
        <f>IF(C209&gt;=TotalStations,"",INDEX($C$9:$C$38,MATCH(SUMPRODUCT(($A$9:$A$38&lt;&gt;"")*($F$9:$F$38&lt;=C209))+1,$G$9:$G$38,0)))</f>
        <v/>
      </c>
      <c r="F209" s="40">
        <f>IF(C209&gt;=TotalStations,0,IF(OR(B209="Dédié",$B$3="Plein temps (7h)"),MIN(FLOOR(420/E209,1),TotalStations-C209),MIN(VALUE($B$3),TotalStations-C209)))</f>
        <v/>
      </c>
      <c r="G209" s="38" t="n"/>
      <c r="H209" s="40">
        <f>IF(G209="","",G209-F209)</f>
        <v/>
      </c>
      <c r="I209" s="40">
        <f>SUM($H$48:H209)</f>
        <v/>
      </c>
      <c r="J209" s="40">
        <f>C209+F209</f>
        <v/>
      </c>
    </row>
    <row r="210" hidden="1" outlineLevel="1" ht="15" customHeight="1" s="18">
      <c r="A210" s="44" t="n">
        <v>46491</v>
      </c>
      <c r="B210" s="45" t="inlineStr">
        <is>
          <t>Normal</t>
        </is>
      </c>
      <c r="C210" s="40">
        <f>C209+IF(G209="",F209,G209)</f>
        <v/>
      </c>
      <c r="D210" s="40">
        <f>IF(C210&gt;=TotalStations,"Terminé",INDEX($A$9:$A$38,MATCH(SUMPRODUCT(($A$9:$A$38&lt;&gt;"")*($F$9:$F$38&lt;=C210))+1,$G$9:$G$38,0)))</f>
        <v/>
      </c>
      <c r="E210" s="40">
        <f>IF(C210&gt;=TotalStations,"",INDEX($C$9:$C$38,MATCH(SUMPRODUCT(($A$9:$A$38&lt;&gt;"")*($F$9:$F$38&lt;=C210))+1,$G$9:$G$38,0)))</f>
        <v/>
      </c>
      <c r="F210" s="40">
        <f>IF(C210&gt;=TotalStations,0,IF(OR(B210="Dédié",$B$3="Plein temps (7h)"),MIN(FLOOR(420/E210,1),TotalStations-C210),MIN(VALUE($B$3),TotalStations-C210)))</f>
        <v/>
      </c>
      <c r="G210" s="38" t="n"/>
      <c r="H210" s="40">
        <f>IF(G210="","",G210-F210)</f>
        <v/>
      </c>
      <c r="I210" s="40">
        <f>SUM($H$48:H210)</f>
        <v/>
      </c>
      <c r="J210" s="40">
        <f>C210+F210</f>
        <v/>
      </c>
    </row>
    <row r="211" hidden="1" outlineLevel="1" ht="15" customHeight="1" s="18">
      <c r="A211" s="44" t="n">
        <v>46492</v>
      </c>
      <c r="B211" s="45" t="inlineStr">
        <is>
          <t>Normal</t>
        </is>
      </c>
      <c r="C211" s="40">
        <f>C210+IF(G210="",F210,G210)</f>
        <v/>
      </c>
      <c r="D211" s="40">
        <f>IF(C211&gt;=TotalStations,"Terminé",INDEX($A$9:$A$38,MATCH(SUMPRODUCT(($A$9:$A$38&lt;&gt;"")*($F$9:$F$38&lt;=C211))+1,$G$9:$G$38,0)))</f>
        <v/>
      </c>
      <c r="E211" s="40">
        <f>IF(C211&gt;=TotalStations,"",INDEX($C$9:$C$38,MATCH(SUMPRODUCT(($A$9:$A$38&lt;&gt;"")*($F$9:$F$38&lt;=C211))+1,$G$9:$G$38,0)))</f>
        <v/>
      </c>
      <c r="F211" s="40">
        <f>IF(C211&gt;=TotalStations,0,IF(OR(B211="Dédié",$B$3="Plein temps (7h)"),MIN(FLOOR(420/E211,1),TotalStations-C211),MIN(VALUE($B$3),TotalStations-C211)))</f>
        <v/>
      </c>
      <c r="G211" s="38" t="n"/>
      <c r="H211" s="40">
        <f>IF(G211="","",G211-F211)</f>
        <v/>
      </c>
      <c r="I211" s="40">
        <f>SUM($H$48:H211)</f>
        <v/>
      </c>
      <c r="J211" s="40">
        <f>C211+F211</f>
        <v/>
      </c>
    </row>
    <row r="212" hidden="1" outlineLevel="1" ht="15" customHeight="1" s="18">
      <c r="A212" s="44" t="n">
        <v>46493</v>
      </c>
      <c r="B212" s="45" t="inlineStr">
        <is>
          <t>Normal</t>
        </is>
      </c>
      <c r="C212" s="40">
        <f>C211+IF(G211="",F211,G211)</f>
        <v/>
      </c>
      <c r="D212" s="40">
        <f>IF(C212&gt;=TotalStations,"Terminé",INDEX($A$9:$A$38,MATCH(SUMPRODUCT(($A$9:$A$38&lt;&gt;"")*($F$9:$F$38&lt;=C212))+1,$G$9:$G$38,0)))</f>
        <v/>
      </c>
      <c r="E212" s="40">
        <f>IF(C212&gt;=TotalStations,"",INDEX($C$9:$C$38,MATCH(SUMPRODUCT(($A$9:$A$38&lt;&gt;"")*($F$9:$F$38&lt;=C212))+1,$G$9:$G$38,0)))</f>
        <v/>
      </c>
      <c r="F212" s="40">
        <f>IF(C212&gt;=TotalStations,0,IF(OR(B212="Dédié",$B$3="Plein temps (7h)"),MIN(FLOOR(420/E212,1),TotalStations-C212),MIN(VALUE($B$3),TotalStations-C212)))</f>
        <v/>
      </c>
      <c r="G212" s="38" t="n"/>
      <c r="H212" s="40">
        <f>IF(G212="","",G212-F212)</f>
        <v/>
      </c>
      <c r="I212" s="40">
        <f>SUM($H$48:H212)</f>
        <v/>
      </c>
      <c r="J212" s="40">
        <f>C212+F212</f>
        <v/>
      </c>
    </row>
    <row r="213" hidden="1" outlineLevel="1" ht="15" customHeight="1" s="18">
      <c r="A213" s="44" t="n">
        <v>46496</v>
      </c>
      <c r="B213" s="45" t="inlineStr">
        <is>
          <t>Normal</t>
        </is>
      </c>
      <c r="C213" s="40">
        <f>C212+IF(G212="",F212,G212)</f>
        <v/>
      </c>
      <c r="D213" s="40">
        <f>IF(C213&gt;=TotalStations,"Terminé",INDEX($A$9:$A$38,MATCH(SUMPRODUCT(($A$9:$A$38&lt;&gt;"")*($F$9:$F$38&lt;=C213))+1,$G$9:$G$38,0)))</f>
        <v/>
      </c>
      <c r="E213" s="40">
        <f>IF(C213&gt;=TotalStations,"",INDEX($C$9:$C$38,MATCH(SUMPRODUCT(($A$9:$A$38&lt;&gt;"")*($F$9:$F$38&lt;=C213))+1,$G$9:$G$38,0)))</f>
        <v/>
      </c>
      <c r="F213" s="40">
        <f>IF(C213&gt;=TotalStations,0,IF(OR(B213="Dédié",$B$3="Plein temps (7h)"),MIN(FLOOR(420/E213,1),TotalStations-C213),MIN(VALUE($B$3),TotalStations-C213)))</f>
        <v/>
      </c>
      <c r="G213" s="38" t="n"/>
      <c r="H213" s="40">
        <f>IF(G213="","",G213-F213)</f>
        <v/>
      </c>
      <c r="I213" s="40">
        <f>SUM($H$48:H213)</f>
        <v/>
      </c>
      <c r="J213" s="40">
        <f>C213+F213</f>
        <v/>
      </c>
    </row>
    <row r="214" hidden="1" outlineLevel="1" ht="15" customHeight="1" s="18">
      <c r="A214" s="44" t="n">
        <v>46497</v>
      </c>
      <c r="B214" s="45" t="inlineStr">
        <is>
          <t>Normal</t>
        </is>
      </c>
      <c r="C214" s="40">
        <f>C213+IF(G213="",F213,G213)</f>
        <v/>
      </c>
      <c r="D214" s="40">
        <f>IF(C214&gt;=TotalStations,"Terminé",INDEX($A$9:$A$38,MATCH(SUMPRODUCT(($A$9:$A$38&lt;&gt;"")*($F$9:$F$38&lt;=C214))+1,$G$9:$G$38,0)))</f>
        <v/>
      </c>
      <c r="E214" s="40">
        <f>IF(C214&gt;=TotalStations,"",INDEX($C$9:$C$38,MATCH(SUMPRODUCT(($A$9:$A$38&lt;&gt;"")*($F$9:$F$38&lt;=C214))+1,$G$9:$G$38,0)))</f>
        <v/>
      </c>
      <c r="F214" s="40">
        <f>IF(C214&gt;=TotalStations,0,IF(OR(B214="Dédié",$B$3="Plein temps (7h)"),MIN(FLOOR(420/E214,1),TotalStations-C214),MIN(VALUE($B$3),TotalStations-C214)))</f>
        <v/>
      </c>
      <c r="G214" s="38" t="n"/>
      <c r="H214" s="40">
        <f>IF(G214="","",G214-F214)</f>
        <v/>
      </c>
      <c r="I214" s="40">
        <f>SUM($H$48:H214)</f>
        <v/>
      </c>
      <c r="J214" s="40">
        <f>C214+F214</f>
        <v/>
      </c>
    </row>
    <row r="215" hidden="1" outlineLevel="1" ht="15" customHeight="1" s="18">
      <c r="A215" s="44" t="n">
        <v>46498</v>
      </c>
      <c r="B215" s="45" t="inlineStr">
        <is>
          <t>Normal</t>
        </is>
      </c>
      <c r="C215" s="40">
        <f>C214+IF(G214="",F214,G214)</f>
        <v/>
      </c>
      <c r="D215" s="40">
        <f>IF(C215&gt;=TotalStations,"Terminé",INDEX($A$9:$A$38,MATCH(SUMPRODUCT(($A$9:$A$38&lt;&gt;"")*($F$9:$F$38&lt;=C215))+1,$G$9:$G$38,0)))</f>
        <v/>
      </c>
      <c r="E215" s="40">
        <f>IF(C215&gt;=TotalStations,"",INDEX($C$9:$C$38,MATCH(SUMPRODUCT(($A$9:$A$38&lt;&gt;"")*($F$9:$F$38&lt;=C215))+1,$G$9:$G$38,0)))</f>
        <v/>
      </c>
      <c r="F215" s="40">
        <f>IF(C215&gt;=TotalStations,0,IF(OR(B215="Dédié",$B$3="Plein temps (7h)"),MIN(FLOOR(420/E215,1),TotalStations-C215),MIN(VALUE($B$3),TotalStations-C215)))</f>
        <v/>
      </c>
      <c r="G215" s="38" t="n"/>
      <c r="H215" s="40">
        <f>IF(G215="","",G215-F215)</f>
        <v/>
      </c>
      <c r="I215" s="40">
        <f>SUM($H$48:H215)</f>
        <v/>
      </c>
      <c r="J215" s="40">
        <f>C215+F215</f>
        <v/>
      </c>
    </row>
    <row r="216" hidden="1" outlineLevel="1" ht="15" customHeight="1" s="18">
      <c r="A216" s="44" t="n">
        <v>46499</v>
      </c>
      <c r="B216" s="45" t="inlineStr">
        <is>
          <t>Normal</t>
        </is>
      </c>
      <c r="C216" s="40">
        <f>C215+IF(G215="",F215,G215)</f>
        <v/>
      </c>
      <c r="D216" s="40">
        <f>IF(C216&gt;=TotalStations,"Terminé",INDEX($A$9:$A$38,MATCH(SUMPRODUCT(($A$9:$A$38&lt;&gt;"")*($F$9:$F$38&lt;=C216))+1,$G$9:$G$38,0)))</f>
        <v/>
      </c>
      <c r="E216" s="40">
        <f>IF(C216&gt;=TotalStations,"",INDEX($C$9:$C$38,MATCH(SUMPRODUCT(($A$9:$A$38&lt;&gt;"")*($F$9:$F$38&lt;=C216))+1,$G$9:$G$38,0)))</f>
        <v/>
      </c>
      <c r="F216" s="40">
        <f>IF(C216&gt;=TotalStations,0,IF(OR(B216="Dédié",$B$3="Plein temps (7h)"),MIN(FLOOR(420/E216,1),TotalStations-C216),MIN(VALUE($B$3),TotalStations-C216)))</f>
        <v/>
      </c>
      <c r="G216" s="38" t="n"/>
      <c r="H216" s="40">
        <f>IF(G216="","",G216-F216)</f>
        <v/>
      </c>
      <c r="I216" s="40">
        <f>SUM($H$48:H216)</f>
        <v/>
      </c>
      <c r="J216" s="40">
        <f>C216+F216</f>
        <v/>
      </c>
    </row>
    <row r="217" hidden="1" outlineLevel="1" ht="15" customHeight="1" s="18">
      <c r="A217" s="44" t="n">
        <v>46500</v>
      </c>
      <c r="B217" s="45" t="inlineStr">
        <is>
          <t>Normal</t>
        </is>
      </c>
      <c r="C217" s="40">
        <f>C216+IF(G216="",F216,G216)</f>
        <v/>
      </c>
      <c r="D217" s="40">
        <f>IF(C217&gt;=TotalStations,"Terminé",INDEX($A$9:$A$38,MATCH(SUMPRODUCT(($A$9:$A$38&lt;&gt;"")*($F$9:$F$38&lt;=C217))+1,$G$9:$G$38,0)))</f>
        <v/>
      </c>
      <c r="E217" s="40">
        <f>IF(C217&gt;=TotalStations,"",INDEX($C$9:$C$38,MATCH(SUMPRODUCT(($A$9:$A$38&lt;&gt;"")*($F$9:$F$38&lt;=C217))+1,$G$9:$G$38,0)))</f>
        <v/>
      </c>
      <c r="F217" s="40">
        <f>IF(C217&gt;=TotalStations,0,IF(OR(B217="Dédié",$B$3="Plein temps (7h)"),MIN(FLOOR(420/E217,1),TotalStations-C217),MIN(VALUE($B$3),TotalStations-C217)))</f>
        <v/>
      </c>
      <c r="G217" s="38" t="n"/>
      <c r="H217" s="40">
        <f>IF(G217="","",G217-F217)</f>
        <v/>
      </c>
      <c r="I217" s="40">
        <f>SUM($H$48:H217)</f>
        <v/>
      </c>
      <c r="J217" s="40">
        <f>C217+F217</f>
        <v/>
      </c>
    </row>
    <row r="218" hidden="1" outlineLevel="1" ht="15" customHeight="1" s="18">
      <c r="A218" s="44" t="n">
        <v>46503</v>
      </c>
      <c r="B218" s="45" t="inlineStr">
        <is>
          <t>Normal</t>
        </is>
      </c>
      <c r="C218" s="40">
        <f>C217+IF(G217="",F217,G217)</f>
        <v/>
      </c>
      <c r="D218" s="40">
        <f>IF(C218&gt;=TotalStations,"Terminé",INDEX($A$9:$A$38,MATCH(SUMPRODUCT(($A$9:$A$38&lt;&gt;"")*($F$9:$F$38&lt;=C218))+1,$G$9:$G$38,0)))</f>
        <v/>
      </c>
      <c r="E218" s="40">
        <f>IF(C218&gt;=TotalStations,"",INDEX($C$9:$C$38,MATCH(SUMPRODUCT(($A$9:$A$38&lt;&gt;"")*($F$9:$F$38&lt;=C218))+1,$G$9:$G$38,0)))</f>
        <v/>
      </c>
      <c r="F218" s="40">
        <f>IF(C218&gt;=TotalStations,0,IF(OR(B218="Dédié",$B$3="Plein temps (7h)"),MIN(FLOOR(420/E218,1),TotalStations-C218),MIN(VALUE($B$3),TotalStations-C218)))</f>
        <v/>
      </c>
      <c r="G218" s="38" t="n"/>
      <c r="H218" s="40">
        <f>IF(G218="","",G218-F218)</f>
        <v/>
      </c>
      <c r="I218" s="40">
        <f>SUM($H$48:H218)</f>
        <v/>
      </c>
      <c r="J218" s="40">
        <f>C218+F218</f>
        <v/>
      </c>
    </row>
    <row r="219" hidden="1" outlineLevel="1" ht="15" customHeight="1" s="18">
      <c r="A219" s="44" t="n">
        <v>46504</v>
      </c>
      <c r="B219" s="45" t="inlineStr">
        <is>
          <t>Normal</t>
        </is>
      </c>
      <c r="C219" s="40">
        <f>C218+IF(G218="",F218,G218)</f>
        <v/>
      </c>
      <c r="D219" s="40">
        <f>IF(C219&gt;=TotalStations,"Terminé",INDEX($A$9:$A$38,MATCH(SUMPRODUCT(($A$9:$A$38&lt;&gt;"")*($F$9:$F$38&lt;=C219))+1,$G$9:$G$38,0)))</f>
        <v/>
      </c>
      <c r="E219" s="40">
        <f>IF(C219&gt;=TotalStations,"",INDEX($C$9:$C$38,MATCH(SUMPRODUCT(($A$9:$A$38&lt;&gt;"")*($F$9:$F$38&lt;=C219))+1,$G$9:$G$38,0)))</f>
        <v/>
      </c>
      <c r="F219" s="40">
        <f>IF(C219&gt;=TotalStations,0,IF(OR(B219="Dédié",$B$3="Plein temps (7h)"),MIN(FLOOR(420/E219,1),TotalStations-C219),MIN(VALUE($B$3),TotalStations-C219)))</f>
        <v/>
      </c>
      <c r="G219" s="38" t="n"/>
      <c r="H219" s="40">
        <f>IF(G219="","",G219-F219)</f>
        <v/>
      </c>
      <c r="I219" s="40">
        <f>SUM($H$48:H219)</f>
        <v/>
      </c>
      <c r="J219" s="40">
        <f>C219+F219</f>
        <v/>
      </c>
    </row>
    <row r="220" hidden="1" outlineLevel="1" ht="15" customHeight="1" s="18">
      <c r="A220" s="44" t="n">
        <v>46505</v>
      </c>
      <c r="B220" s="45" t="inlineStr">
        <is>
          <t>Normal</t>
        </is>
      </c>
      <c r="C220" s="40">
        <f>C219+IF(G219="",F219,G219)</f>
        <v/>
      </c>
      <c r="D220" s="40">
        <f>IF(C220&gt;=TotalStations,"Terminé",INDEX($A$9:$A$38,MATCH(SUMPRODUCT(($A$9:$A$38&lt;&gt;"")*($F$9:$F$38&lt;=C220))+1,$G$9:$G$38,0)))</f>
        <v/>
      </c>
      <c r="E220" s="40">
        <f>IF(C220&gt;=TotalStations,"",INDEX($C$9:$C$38,MATCH(SUMPRODUCT(($A$9:$A$38&lt;&gt;"")*($F$9:$F$38&lt;=C220))+1,$G$9:$G$38,0)))</f>
        <v/>
      </c>
      <c r="F220" s="40">
        <f>IF(C220&gt;=TotalStations,0,IF(OR(B220="Dédié",$B$3="Plein temps (7h)"),MIN(FLOOR(420/E220,1),TotalStations-C220),MIN(VALUE($B$3),TotalStations-C220)))</f>
        <v/>
      </c>
      <c r="G220" s="38" t="n"/>
      <c r="H220" s="40">
        <f>IF(G220="","",G220-F220)</f>
        <v/>
      </c>
      <c r="I220" s="40">
        <f>SUM($H$48:H220)</f>
        <v/>
      </c>
      <c r="J220" s="40">
        <f>C220+F220</f>
        <v/>
      </c>
    </row>
    <row r="221" hidden="1" outlineLevel="1" ht="15" customHeight="1" s="18">
      <c r="A221" s="44" t="n">
        <v>46506</v>
      </c>
      <c r="B221" s="45" t="inlineStr">
        <is>
          <t>Normal</t>
        </is>
      </c>
      <c r="C221" s="40">
        <f>C220+IF(G220="",F220,G220)</f>
        <v/>
      </c>
      <c r="D221" s="40">
        <f>IF(C221&gt;=TotalStations,"Terminé",INDEX($A$9:$A$38,MATCH(SUMPRODUCT(($A$9:$A$38&lt;&gt;"")*($F$9:$F$38&lt;=C221))+1,$G$9:$G$38,0)))</f>
        <v/>
      </c>
      <c r="E221" s="40">
        <f>IF(C221&gt;=TotalStations,"",INDEX($C$9:$C$38,MATCH(SUMPRODUCT(($A$9:$A$38&lt;&gt;"")*($F$9:$F$38&lt;=C221))+1,$G$9:$G$38,0)))</f>
        <v/>
      </c>
      <c r="F221" s="40">
        <f>IF(C221&gt;=TotalStations,0,IF(OR(B221="Dédié",$B$3="Plein temps (7h)"),MIN(FLOOR(420/E221,1),TotalStations-C221),MIN(VALUE($B$3),TotalStations-C221)))</f>
        <v/>
      </c>
      <c r="G221" s="38" t="n"/>
      <c r="H221" s="40">
        <f>IF(G221="","",G221-F221)</f>
        <v/>
      </c>
      <c r="I221" s="40">
        <f>SUM($H$48:H221)</f>
        <v/>
      </c>
      <c r="J221" s="40">
        <f>C221+F221</f>
        <v/>
      </c>
    </row>
    <row r="222" hidden="1" outlineLevel="1" ht="15" customHeight="1" s="18">
      <c r="A222" s="44" t="n">
        <v>46507</v>
      </c>
      <c r="B222" s="45" t="inlineStr">
        <is>
          <t>Normal</t>
        </is>
      </c>
      <c r="C222" s="40">
        <f>C221+IF(G221="",F221,G221)</f>
        <v/>
      </c>
      <c r="D222" s="40">
        <f>IF(C222&gt;=TotalStations,"Terminé",INDEX($A$9:$A$38,MATCH(SUMPRODUCT(($A$9:$A$38&lt;&gt;"")*($F$9:$F$38&lt;=C222))+1,$G$9:$G$38,0)))</f>
        <v/>
      </c>
      <c r="E222" s="40">
        <f>IF(C222&gt;=TotalStations,"",INDEX($C$9:$C$38,MATCH(SUMPRODUCT(($A$9:$A$38&lt;&gt;"")*($F$9:$F$38&lt;=C222))+1,$G$9:$G$38,0)))</f>
        <v/>
      </c>
      <c r="F222" s="40">
        <f>IF(C222&gt;=TotalStations,0,IF(OR(B222="Dédié",$B$3="Plein temps (7h)"),MIN(FLOOR(420/E222,1),TotalStations-C222),MIN(VALUE($B$3),TotalStations-C222)))</f>
        <v/>
      </c>
      <c r="G222" s="38" t="n"/>
      <c r="H222" s="40">
        <f>IF(G222="","",G222-F222)</f>
        <v/>
      </c>
      <c r="I222" s="40">
        <f>SUM($H$48:H222)</f>
        <v/>
      </c>
      <c r="J222" s="40">
        <f>C222+F222</f>
        <v/>
      </c>
    </row>
    <row r="223" hidden="1" outlineLevel="1" ht="15" customHeight="1" s="18">
      <c r="A223" s="44" t="n">
        <v>46510</v>
      </c>
      <c r="B223" s="45" t="inlineStr">
        <is>
          <t>Normal</t>
        </is>
      </c>
      <c r="C223" s="40">
        <f>C222+IF(G222="",F222,G222)</f>
        <v/>
      </c>
      <c r="D223" s="40">
        <f>IF(C223&gt;=TotalStations,"Terminé",INDEX($A$9:$A$38,MATCH(SUMPRODUCT(($A$9:$A$38&lt;&gt;"")*($F$9:$F$38&lt;=C223))+1,$G$9:$G$38,0)))</f>
        <v/>
      </c>
      <c r="E223" s="40">
        <f>IF(C223&gt;=TotalStations,"",INDEX($C$9:$C$38,MATCH(SUMPRODUCT(($A$9:$A$38&lt;&gt;"")*($F$9:$F$38&lt;=C223))+1,$G$9:$G$38,0)))</f>
        <v/>
      </c>
      <c r="F223" s="40">
        <f>IF(C223&gt;=TotalStations,0,IF(OR(B223="Dédié",$B$3="Plein temps (7h)"),MIN(FLOOR(420/E223,1),TotalStations-C223),MIN(VALUE($B$3),TotalStations-C223)))</f>
        <v/>
      </c>
      <c r="G223" s="38" t="n"/>
      <c r="H223" s="40">
        <f>IF(G223="","",G223-F223)</f>
        <v/>
      </c>
      <c r="I223" s="40">
        <f>SUM($H$48:H223)</f>
        <v/>
      </c>
      <c r="J223" s="40">
        <f>C223+F223</f>
        <v/>
      </c>
    </row>
    <row r="224" hidden="1" outlineLevel="1" ht="15" customHeight="1" s="18">
      <c r="A224" s="44" t="n">
        <v>46511</v>
      </c>
      <c r="B224" s="45" t="inlineStr">
        <is>
          <t>Normal</t>
        </is>
      </c>
      <c r="C224" s="40">
        <f>C223+IF(G223="",F223,G223)</f>
        <v/>
      </c>
      <c r="D224" s="40">
        <f>IF(C224&gt;=TotalStations,"Terminé",INDEX($A$9:$A$38,MATCH(SUMPRODUCT(($A$9:$A$38&lt;&gt;"")*($F$9:$F$38&lt;=C224))+1,$G$9:$G$38,0)))</f>
        <v/>
      </c>
      <c r="E224" s="40">
        <f>IF(C224&gt;=TotalStations,"",INDEX($C$9:$C$38,MATCH(SUMPRODUCT(($A$9:$A$38&lt;&gt;"")*($F$9:$F$38&lt;=C224))+1,$G$9:$G$38,0)))</f>
        <v/>
      </c>
      <c r="F224" s="40">
        <f>IF(C224&gt;=TotalStations,0,IF(OR(B224="Dédié",$B$3="Plein temps (7h)"),MIN(FLOOR(420/E224,1),TotalStations-C224),MIN(VALUE($B$3),TotalStations-C224)))</f>
        <v/>
      </c>
      <c r="G224" s="38" t="n"/>
      <c r="H224" s="40">
        <f>IF(G224="","",G224-F224)</f>
        <v/>
      </c>
      <c r="I224" s="40">
        <f>SUM($H$48:H224)</f>
        <v/>
      </c>
      <c r="J224" s="40">
        <f>C224+F224</f>
        <v/>
      </c>
    </row>
    <row r="225" hidden="1" outlineLevel="1" ht="15" customHeight="1" s="18">
      <c r="A225" s="44" t="n">
        <v>46512</v>
      </c>
      <c r="B225" s="45" t="inlineStr">
        <is>
          <t>Normal</t>
        </is>
      </c>
      <c r="C225" s="40">
        <f>C224+IF(G224="",F224,G224)</f>
        <v/>
      </c>
      <c r="D225" s="40">
        <f>IF(C225&gt;=TotalStations,"Terminé",INDEX($A$9:$A$38,MATCH(SUMPRODUCT(($A$9:$A$38&lt;&gt;"")*($F$9:$F$38&lt;=C225))+1,$G$9:$G$38,0)))</f>
        <v/>
      </c>
      <c r="E225" s="40">
        <f>IF(C225&gt;=TotalStations,"",INDEX($C$9:$C$38,MATCH(SUMPRODUCT(($A$9:$A$38&lt;&gt;"")*($F$9:$F$38&lt;=C225))+1,$G$9:$G$38,0)))</f>
        <v/>
      </c>
      <c r="F225" s="40">
        <f>IF(C225&gt;=TotalStations,0,IF(OR(B225="Dédié",$B$3="Plein temps (7h)"),MIN(FLOOR(420/E225,1),TotalStations-C225),MIN(VALUE($B$3),TotalStations-C225)))</f>
        <v/>
      </c>
      <c r="G225" s="38" t="n"/>
      <c r="H225" s="40">
        <f>IF(G225="","",G225-F225)</f>
        <v/>
      </c>
      <c r="I225" s="40">
        <f>SUM($H$48:H225)</f>
        <v/>
      </c>
      <c r="J225" s="40">
        <f>C225+F225</f>
        <v/>
      </c>
    </row>
    <row r="226" hidden="1" outlineLevel="1" ht="15" customHeight="1" s="18">
      <c r="A226" s="44" t="n">
        <v>46513</v>
      </c>
      <c r="B226" s="45" t="inlineStr">
        <is>
          <t>Normal</t>
        </is>
      </c>
      <c r="C226" s="40">
        <f>C225+IF(G225="",F225,G225)</f>
        <v/>
      </c>
      <c r="D226" s="40">
        <f>IF(C226&gt;=TotalStations,"Terminé",INDEX($A$9:$A$38,MATCH(SUMPRODUCT(($A$9:$A$38&lt;&gt;"")*($F$9:$F$38&lt;=C226))+1,$G$9:$G$38,0)))</f>
        <v/>
      </c>
      <c r="E226" s="40">
        <f>IF(C226&gt;=TotalStations,"",INDEX($C$9:$C$38,MATCH(SUMPRODUCT(($A$9:$A$38&lt;&gt;"")*($F$9:$F$38&lt;=C226))+1,$G$9:$G$38,0)))</f>
        <v/>
      </c>
      <c r="F226" s="40">
        <f>IF(C226&gt;=TotalStations,0,IF(OR(B226="Dédié",$B$3="Plein temps (7h)"),MIN(FLOOR(420/E226,1),TotalStations-C226),MIN(VALUE($B$3),TotalStations-C226)))</f>
        <v/>
      </c>
      <c r="G226" s="38" t="n"/>
      <c r="H226" s="40">
        <f>IF(G226="","",G226-F226)</f>
        <v/>
      </c>
      <c r="I226" s="40">
        <f>SUM($H$48:H226)</f>
        <v/>
      </c>
      <c r="J226" s="40">
        <f>C226+F226</f>
        <v/>
      </c>
    </row>
    <row r="227" hidden="1" outlineLevel="1" ht="15" customHeight="1" s="18">
      <c r="A227" s="44" t="n">
        <v>46514</v>
      </c>
      <c r="B227" s="45" t="inlineStr">
        <is>
          <t>Normal</t>
        </is>
      </c>
      <c r="C227" s="40">
        <f>C226+IF(G226="",F226,G226)</f>
        <v/>
      </c>
      <c r="D227" s="40">
        <f>IF(C227&gt;=TotalStations,"Terminé",INDEX($A$9:$A$38,MATCH(SUMPRODUCT(($A$9:$A$38&lt;&gt;"")*($F$9:$F$38&lt;=C227))+1,$G$9:$G$38,0)))</f>
        <v/>
      </c>
      <c r="E227" s="40">
        <f>IF(C227&gt;=TotalStations,"",INDEX($C$9:$C$38,MATCH(SUMPRODUCT(($A$9:$A$38&lt;&gt;"")*($F$9:$F$38&lt;=C227))+1,$G$9:$G$38,0)))</f>
        <v/>
      </c>
      <c r="F227" s="40">
        <f>IF(C227&gt;=TotalStations,0,IF(OR(B227="Dédié",$B$3="Plein temps (7h)"),MIN(FLOOR(420/E227,1),TotalStations-C227),MIN(VALUE($B$3),TotalStations-C227)))</f>
        <v/>
      </c>
      <c r="G227" s="38" t="n"/>
      <c r="H227" s="40">
        <f>IF(G227="","",G227-F227)</f>
        <v/>
      </c>
      <c r="I227" s="40">
        <f>SUM($H$48:H227)</f>
        <v/>
      </c>
      <c r="J227" s="40">
        <f>C227+F227</f>
        <v/>
      </c>
    </row>
    <row r="228" hidden="1" outlineLevel="1" ht="15" customHeight="1" s="18">
      <c r="A228" s="44" t="n">
        <v>46517</v>
      </c>
      <c r="B228" s="45" t="inlineStr">
        <is>
          <t>Normal</t>
        </is>
      </c>
      <c r="C228" s="40">
        <f>C227+IF(G227="",F227,G227)</f>
        <v/>
      </c>
      <c r="D228" s="40">
        <f>IF(C228&gt;=TotalStations,"Terminé",INDEX($A$9:$A$38,MATCH(SUMPRODUCT(($A$9:$A$38&lt;&gt;"")*($F$9:$F$38&lt;=C228))+1,$G$9:$G$38,0)))</f>
        <v/>
      </c>
      <c r="E228" s="40">
        <f>IF(C228&gt;=TotalStations,"",INDEX($C$9:$C$38,MATCH(SUMPRODUCT(($A$9:$A$38&lt;&gt;"")*($F$9:$F$38&lt;=C228))+1,$G$9:$G$38,0)))</f>
        <v/>
      </c>
      <c r="F228" s="40">
        <f>IF(C228&gt;=TotalStations,0,IF(OR(B228="Dédié",$B$3="Plein temps (7h)"),MIN(FLOOR(420/E228,1),TotalStations-C228),MIN(VALUE($B$3),TotalStations-C228)))</f>
        <v/>
      </c>
      <c r="G228" s="38" t="n"/>
      <c r="H228" s="40">
        <f>IF(G228="","",G228-F228)</f>
        <v/>
      </c>
      <c r="I228" s="40">
        <f>SUM($H$48:H228)</f>
        <v/>
      </c>
      <c r="J228" s="40">
        <f>C228+F228</f>
        <v/>
      </c>
    </row>
    <row r="229" hidden="1" outlineLevel="1" ht="15" customHeight="1" s="18">
      <c r="A229" s="44" t="n">
        <v>46518</v>
      </c>
      <c r="B229" s="45" t="inlineStr">
        <is>
          <t>Normal</t>
        </is>
      </c>
      <c r="C229" s="40">
        <f>C228+IF(G228="",F228,G228)</f>
        <v/>
      </c>
      <c r="D229" s="40">
        <f>IF(C229&gt;=TotalStations,"Terminé",INDEX($A$9:$A$38,MATCH(SUMPRODUCT(($A$9:$A$38&lt;&gt;"")*($F$9:$F$38&lt;=C229))+1,$G$9:$G$38,0)))</f>
        <v/>
      </c>
      <c r="E229" s="40">
        <f>IF(C229&gt;=TotalStations,"",INDEX($C$9:$C$38,MATCH(SUMPRODUCT(($A$9:$A$38&lt;&gt;"")*($F$9:$F$38&lt;=C229))+1,$G$9:$G$38,0)))</f>
        <v/>
      </c>
      <c r="F229" s="40">
        <f>IF(C229&gt;=TotalStations,0,IF(OR(B229="Dédié",$B$3="Plein temps (7h)"),MIN(FLOOR(420/E229,1),TotalStations-C229),MIN(VALUE($B$3),TotalStations-C229)))</f>
        <v/>
      </c>
      <c r="G229" s="38" t="n"/>
      <c r="H229" s="40">
        <f>IF(G229="","",G229-F229)</f>
        <v/>
      </c>
      <c r="I229" s="40">
        <f>SUM($H$48:H229)</f>
        <v/>
      </c>
      <c r="J229" s="40">
        <f>C229+F229</f>
        <v/>
      </c>
    </row>
    <row r="230" hidden="1" outlineLevel="1" ht="15" customHeight="1" s="18">
      <c r="A230" s="44" t="n">
        <v>46519</v>
      </c>
      <c r="B230" s="45" t="inlineStr">
        <is>
          <t>Normal</t>
        </is>
      </c>
      <c r="C230" s="40">
        <f>C229+IF(G229="",F229,G229)</f>
        <v/>
      </c>
      <c r="D230" s="40">
        <f>IF(C230&gt;=TotalStations,"Terminé",INDEX($A$9:$A$38,MATCH(SUMPRODUCT(($A$9:$A$38&lt;&gt;"")*($F$9:$F$38&lt;=C230))+1,$G$9:$G$38,0)))</f>
        <v/>
      </c>
      <c r="E230" s="40">
        <f>IF(C230&gt;=TotalStations,"",INDEX($C$9:$C$38,MATCH(SUMPRODUCT(($A$9:$A$38&lt;&gt;"")*($F$9:$F$38&lt;=C230))+1,$G$9:$G$38,0)))</f>
        <v/>
      </c>
      <c r="F230" s="40">
        <f>IF(C230&gt;=TotalStations,0,IF(OR(B230="Dédié",$B$3="Plein temps (7h)"),MIN(FLOOR(420/E230,1),TotalStations-C230),MIN(VALUE($B$3),TotalStations-C230)))</f>
        <v/>
      </c>
      <c r="G230" s="38" t="n"/>
      <c r="H230" s="40">
        <f>IF(G230="","",G230-F230)</f>
        <v/>
      </c>
      <c r="I230" s="40">
        <f>SUM($H$48:H230)</f>
        <v/>
      </c>
      <c r="J230" s="40">
        <f>C230+F230</f>
        <v/>
      </c>
    </row>
    <row r="231" hidden="1" outlineLevel="1" ht="15" customHeight="1" s="18">
      <c r="A231" s="44" t="n">
        <v>46520</v>
      </c>
      <c r="B231" s="45" t="inlineStr">
        <is>
          <t>Normal</t>
        </is>
      </c>
      <c r="C231" s="40">
        <f>C230+IF(G230="",F230,G230)</f>
        <v/>
      </c>
      <c r="D231" s="40">
        <f>IF(C231&gt;=TotalStations,"Terminé",INDEX($A$9:$A$38,MATCH(SUMPRODUCT(($A$9:$A$38&lt;&gt;"")*($F$9:$F$38&lt;=C231))+1,$G$9:$G$38,0)))</f>
        <v/>
      </c>
      <c r="E231" s="40">
        <f>IF(C231&gt;=TotalStations,"",INDEX($C$9:$C$38,MATCH(SUMPRODUCT(($A$9:$A$38&lt;&gt;"")*($F$9:$F$38&lt;=C231))+1,$G$9:$G$38,0)))</f>
        <v/>
      </c>
      <c r="F231" s="40">
        <f>IF(C231&gt;=TotalStations,0,IF(OR(B231="Dédié",$B$3="Plein temps (7h)"),MIN(FLOOR(420/E231,1),TotalStations-C231),MIN(VALUE($B$3),TotalStations-C231)))</f>
        <v/>
      </c>
      <c r="G231" s="38" t="n"/>
      <c r="H231" s="40">
        <f>IF(G231="","",G231-F231)</f>
        <v/>
      </c>
      <c r="I231" s="40">
        <f>SUM($H$48:H231)</f>
        <v/>
      </c>
      <c r="J231" s="40">
        <f>C231+F231</f>
        <v/>
      </c>
    </row>
    <row r="232" hidden="1" outlineLevel="1" ht="15" customHeight="1" s="18">
      <c r="A232" s="44" t="n">
        <v>46521</v>
      </c>
      <c r="B232" s="45" t="inlineStr">
        <is>
          <t>Normal</t>
        </is>
      </c>
      <c r="C232" s="40">
        <f>C231+IF(G231="",F231,G231)</f>
        <v/>
      </c>
      <c r="D232" s="40">
        <f>IF(C232&gt;=TotalStations,"Terminé",INDEX($A$9:$A$38,MATCH(SUMPRODUCT(($A$9:$A$38&lt;&gt;"")*($F$9:$F$38&lt;=C232))+1,$G$9:$G$38,0)))</f>
        <v/>
      </c>
      <c r="E232" s="40">
        <f>IF(C232&gt;=TotalStations,"",INDEX($C$9:$C$38,MATCH(SUMPRODUCT(($A$9:$A$38&lt;&gt;"")*($F$9:$F$38&lt;=C232))+1,$G$9:$G$38,0)))</f>
        <v/>
      </c>
      <c r="F232" s="40">
        <f>IF(C232&gt;=TotalStations,0,IF(OR(B232="Dédié",$B$3="Plein temps (7h)"),MIN(FLOOR(420/E232,1),TotalStations-C232),MIN(VALUE($B$3),TotalStations-C232)))</f>
        <v/>
      </c>
      <c r="G232" s="38" t="n"/>
      <c r="H232" s="40">
        <f>IF(G232="","",G232-F232)</f>
        <v/>
      </c>
      <c r="I232" s="40">
        <f>SUM($H$48:H232)</f>
        <v/>
      </c>
      <c r="J232" s="40">
        <f>C232+F232</f>
        <v/>
      </c>
    </row>
    <row r="233" hidden="1" outlineLevel="1" ht="15" customHeight="1" s="18">
      <c r="A233" s="44" t="n">
        <v>46524</v>
      </c>
      <c r="B233" s="45" t="inlineStr">
        <is>
          <t>Normal</t>
        </is>
      </c>
      <c r="C233" s="40">
        <f>C232+IF(G232="",F232,G232)</f>
        <v/>
      </c>
      <c r="D233" s="40">
        <f>IF(C233&gt;=TotalStations,"Terminé",INDEX($A$9:$A$38,MATCH(SUMPRODUCT(($A$9:$A$38&lt;&gt;"")*($F$9:$F$38&lt;=C233))+1,$G$9:$G$38,0)))</f>
        <v/>
      </c>
      <c r="E233" s="40">
        <f>IF(C233&gt;=TotalStations,"",INDEX($C$9:$C$38,MATCH(SUMPRODUCT(($A$9:$A$38&lt;&gt;"")*($F$9:$F$38&lt;=C233))+1,$G$9:$G$38,0)))</f>
        <v/>
      </c>
      <c r="F233" s="40">
        <f>IF(C233&gt;=TotalStations,0,IF(OR(B233="Dédié",$B$3="Plein temps (7h)"),MIN(FLOOR(420/E233,1),TotalStations-C233),MIN(VALUE($B$3),TotalStations-C233)))</f>
        <v/>
      </c>
      <c r="G233" s="38" t="n"/>
      <c r="H233" s="40">
        <f>IF(G233="","",G233-F233)</f>
        <v/>
      </c>
      <c r="I233" s="40">
        <f>SUM($H$48:H233)</f>
        <v/>
      </c>
      <c r="J233" s="40">
        <f>C233+F233</f>
        <v/>
      </c>
    </row>
    <row r="234" hidden="1" outlineLevel="1" ht="15" customHeight="1" s="18">
      <c r="A234" s="44" t="n">
        <v>46525</v>
      </c>
      <c r="B234" s="45" t="inlineStr">
        <is>
          <t>Normal</t>
        </is>
      </c>
      <c r="C234" s="40">
        <f>C233+IF(G233="",F233,G233)</f>
        <v/>
      </c>
      <c r="D234" s="40">
        <f>IF(C234&gt;=TotalStations,"Terminé",INDEX($A$9:$A$38,MATCH(SUMPRODUCT(($A$9:$A$38&lt;&gt;"")*($F$9:$F$38&lt;=C234))+1,$G$9:$G$38,0)))</f>
        <v/>
      </c>
      <c r="E234" s="40">
        <f>IF(C234&gt;=TotalStations,"",INDEX($C$9:$C$38,MATCH(SUMPRODUCT(($A$9:$A$38&lt;&gt;"")*($F$9:$F$38&lt;=C234))+1,$G$9:$G$38,0)))</f>
        <v/>
      </c>
      <c r="F234" s="40">
        <f>IF(C234&gt;=TotalStations,0,IF(OR(B234="Dédié",$B$3="Plein temps (7h)"),MIN(FLOOR(420/E234,1),TotalStations-C234),MIN(VALUE($B$3),TotalStations-C234)))</f>
        <v/>
      </c>
      <c r="G234" s="38" t="n"/>
      <c r="H234" s="40">
        <f>IF(G234="","",G234-F234)</f>
        <v/>
      </c>
      <c r="I234" s="40">
        <f>SUM($H$48:H234)</f>
        <v/>
      </c>
      <c r="J234" s="40">
        <f>C234+F234</f>
        <v/>
      </c>
    </row>
    <row r="235" hidden="1" outlineLevel="1" ht="15" customHeight="1" s="18">
      <c r="A235" s="44" t="n">
        <v>46526</v>
      </c>
      <c r="B235" s="45" t="inlineStr">
        <is>
          <t>Normal</t>
        </is>
      </c>
      <c r="C235" s="40">
        <f>C234+IF(G234="",F234,G234)</f>
        <v/>
      </c>
      <c r="D235" s="40">
        <f>IF(C235&gt;=TotalStations,"Terminé",INDEX($A$9:$A$38,MATCH(SUMPRODUCT(($A$9:$A$38&lt;&gt;"")*($F$9:$F$38&lt;=C235))+1,$G$9:$G$38,0)))</f>
        <v/>
      </c>
      <c r="E235" s="40">
        <f>IF(C235&gt;=TotalStations,"",INDEX($C$9:$C$38,MATCH(SUMPRODUCT(($A$9:$A$38&lt;&gt;"")*($F$9:$F$38&lt;=C235))+1,$G$9:$G$38,0)))</f>
        <v/>
      </c>
      <c r="F235" s="40">
        <f>IF(C235&gt;=TotalStations,0,IF(OR(B235="Dédié",$B$3="Plein temps (7h)"),MIN(FLOOR(420/E235,1),TotalStations-C235),MIN(VALUE($B$3),TotalStations-C235)))</f>
        <v/>
      </c>
      <c r="G235" s="38" t="n"/>
      <c r="H235" s="40">
        <f>IF(G235="","",G235-F235)</f>
        <v/>
      </c>
      <c r="I235" s="40">
        <f>SUM($H$48:H235)</f>
        <v/>
      </c>
      <c r="J235" s="40">
        <f>C235+F235</f>
        <v/>
      </c>
    </row>
    <row r="236" hidden="1" outlineLevel="1" ht="15" customHeight="1" s="18">
      <c r="A236" s="44" t="n">
        <v>46527</v>
      </c>
      <c r="B236" s="45" t="inlineStr">
        <is>
          <t>Normal</t>
        </is>
      </c>
      <c r="C236" s="40">
        <f>C235+IF(G235="",F235,G235)</f>
        <v/>
      </c>
      <c r="D236" s="40">
        <f>IF(C236&gt;=TotalStations,"Terminé",INDEX($A$9:$A$38,MATCH(SUMPRODUCT(($A$9:$A$38&lt;&gt;"")*($F$9:$F$38&lt;=C236))+1,$G$9:$G$38,0)))</f>
        <v/>
      </c>
      <c r="E236" s="40">
        <f>IF(C236&gt;=TotalStations,"",INDEX($C$9:$C$38,MATCH(SUMPRODUCT(($A$9:$A$38&lt;&gt;"")*($F$9:$F$38&lt;=C236))+1,$G$9:$G$38,0)))</f>
        <v/>
      </c>
      <c r="F236" s="40">
        <f>IF(C236&gt;=TotalStations,0,IF(OR(B236="Dédié",$B$3="Plein temps (7h)"),MIN(FLOOR(420/E236,1),TotalStations-C236),MIN(VALUE($B$3),TotalStations-C236)))</f>
        <v/>
      </c>
      <c r="G236" s="38" t="n"/>
      <c r="H236" s="40">
        <f>IF(G236="","",G236-F236)</f>
        <v/>
      </c>
      <c r="I236" s="40">
        <f>SUM($H$48:H236)</f>
        <v/>
      </c>
      <c r="J236" s="40">
        <f>C236+F236</f>
        <v/>
      </c>
    </row>
    <row r="237" hidden="1" outlineLevel="1" ht="15" customHeight="1" s="18">
      <c r="A237" s="44" t="n">
        <v>46528</v>
      </c>
      <c r="B237" s="45" t="inlineStr">
        <is>
          <t>Normal</t>
        </is>
      </c>
      <c r="C237" s="40">
        <f>C236+IF(G236="",F236,G236)</f>
        <v/>
      </c>
      <c r="D237" s="40">
        <f>IF(C237&gt;=TotalStations,"Terminé",INDEX($A$9:$A$38,MATCH(SUMPRODUCT(($A$9:$A$38&lt;&gt;"")*($F$9:$F$38&lt;=C237))+1,$G$9:$G$38,0)))</f>
        <v/>
      </c>
      <c r="E237" s="40">
        <f>IF(C237&gt;=TotalStations,"",INDEX($C$9:$C$38,MATCH(SUMPRODUCT(($A$9:$A$38&lt;&gt;"")*($F$9:$F$38&lt;=C237))+1,$G$9:$G$38,0)))</f>
        <v/>
      </c>
      <c r="F237" s="40">
        <f>IF(C237&gt;=TotalStations,0,IF(OR(B237="Dédié",$B$3="Plein temps (7h)"),MIN(FLOOR(420/E237,1),TotalStations-C237),MIN(VALUE($B$3),TotalStations-C237)))</f>
        <v/>
      </c>
      <c r="G237" s="38" t="n"/>
      <c r="H237" s="40">
        <f>IF(G237="","",G237-F237)</f>
        <v/>
      </c>
      <c r="I237" s="40">
        <f>SUM($H$48:H237)</f>
        <v/>
      </c>
      <c r="J237" s="40">
        <f>C237+F237</f>
        <v/>
      </c>
    </row>
    <row r="238" hidden="1" outlineLevel="1" ht="15" customHeight="1" s="18">
      <c r="A238" s="44" t="n">
        <v>46531</v>
      </c>
      <c r="B238" s="45" t="inlineStr">
        <is>
          <t>Normal</t>
        </is>
      </c>
      <c r="C238" s="40">
        <f>C237+IF(G237="",F237,G237)</f>
        <v/>
      </c>
      <c r="D238" s="40">
        <f>IF(C238&gt;=TotalStations,"Terminé",INDEX($A$9:$A$38,MATCH(SUMPRODUCT(($A$9:$A$38&lt;&gt;"")*($F$9:$F$38&lt;=C238))+1,$G$9:$G$38,0)))</f>
        <v/>
      </c>
      <c r="E238" s="40">
        <f>IF(C238&gt;=TotalStations,"",INDEX($C$9:$C$38,MATCH(SUMPRODUCT(($A$9:$A$38&lt;&gt;"")*($F$9:$F$38&lt;=C238))+1,$G$9:$G$38,0)))</f>
        <v/>
      </c>
      <c r="F238" s="40">
        <f>IF(C238&gt;=TotalStations,0,IF(OR(B238="Dédié",$B$3="Plein temps (7h)"),MIN(FLOOR(420/E238,1),TotalStations-C238),MIN(VALUE($B$3),TotalStations-C238)))</f>
        <v/>
      </c>
      <c r="G238" s="38" t="n"/>
      <c r="H238" s="40">
        <f>IF(G238="","",G238-F238)</f>
        <v/>
      </c>
      <c r="I238" s="40">
        <f>SUM($H$48:H238)</f>
        <v/>
      </c>
      <c r="J238" s="40">
        <f>C238+F238</f>
        <v/>
      </c>
    </row>
    <row r="239" hidden="1" outlineLevel="1" ht="15" customHeight="1" s="18">
      <c r="A239" s="44" t="n">
        <v>46532</v>
      </c>
      <c r="B239" s="45" t="inlineStr">
        <is>
          <t>Normal</t>
        </is>
      </c>
      <c r="C239" s="40">
        <f>C238+IF(G238="",F238,G238)</f>
        <v/>
      </c>
      <c r="D239" s="40">
        <f>IF(C239&gt;=TotalStations,"Terminé",INDEX($A$9:$A$38,MATCH(SUMPRODUCT(($A$9:$A$38&lt;&gt;"")*($F$9:$F$38&lt;=C239))+1,$G$9:$G$38,0)))</f>
        <v/>
      </c>
      <c r="E239" s="40">
        <f>IF(C239&gt;=TotalStations,"",INDEX($C$9:$C$38,MATCH(SUMPRODUCT(($A$9:$A$38&lt;&gt;"")*($F$9:$F$38&lt;=C239))+1,$G$9:$G$38,0)))</f>
        <v/>
      </c>
      <c r="F239" s="40">
        <f>IF(C239&gt;=TotalStations,0,IF(OR(B239="Dédié",$B$3="Plein temps (7h)"),MIN(FLOOR(420/E239,1),TotalStations-C239),MIN(VALUE($B$3),TotalStations-C239)))</f>
        <v/>
      </c>
      <c r="G239" s="38" t="n"/>
      <c r="H239" s="40">
        <f>IF(G239="","",G239-F239)</f>
        <v/>
      </c>
      <c r="I239" s="40">
        <f>SUM($H$48:H239)</f>
        <v/>
      </c>
      <c r="J239" s="40">
        <f>C239+F239</f>
        <v/>
      </c>
    </row>
    <row r="240" hidden="1" outlineLevel="1" ht="15" customHeight="1" s="18">
      <c r="A240" s="44" t="n">
        <v>46533</v>
      </c>
      <c r="B240" s="45" t="inlineStr">
        <is>
          <t>Normal</t>
        </is>
      </c>
      <c r="C240" s="40">
        <f>C239+IF(G239="",F239,G239)</f>
        <v/>
      </c>
      <c r="D240" s="40">
        <f>IF(C240&gt;=TotalStations,"Terminé",INDEX($A$9:$A$38,MATCH(SUMPRODUCT(($A$9:$A$38&lt;&gt;"")*($F$9:$F$38&lt;=C240))+1,$G$9:$G$38,0)))</f>
        <v/>
      </c>
      <c r="E240" s="40">
        <f>IF(C240&gt;=TotalStations,"",INDEX($C$9:$C$38,MATCH(SUMPRODUCT(($A$9:$A$38&lt;&gt;"")*($F$9:$F$38&lt;=C240))+1,$G$9:$G$38,0)))</f>
        <v/>
      </c>
      <c r="F240" s="40">
        <f>IF(C240&gt;=TotalStations,0,IF(OR(B240="Dédié",$B$3="Plein temps (7h)"),MIN(FLOOR(420/E240,1),TotalStations-C240),MIN(VALUE($B$3),TotalStations-C240)))</f>
        <v/>
      </c>
      <c r="G240" s="38" t="n"/>
      <c r="H240" s="40">
        <f>IF(G240="","",G240-F240)</f>
        <v/>
      </c>
      <c r="I240" s="40">
        <f>SUM($H$48:H240)</f>
        <v/>
      </c>
      <c r="J240" s="40">
        <f>C240+F240</f>
        <v/>
      </c>
    </row>
    <row r="241" hidden="1" outlineLevel="1" ht="15" customHeight="1" s="18">
      <c r="A241" s="44" t="n">
        <v>46534</v>
      </c>
      <c r="B241" s="45" t="inlineStr">
        <is>
          <t>Normal</t>
        </is>
      </c>
      <c r="C241" s="40">
        <f>C240+IF(G240="",F240,G240)</f>
        <v/>
      </c>
      <c r="D241" s="40">
        <f>IF(C241&gt;=TotalStations,"Terminé",INDEX($A$9:$A$38,MATCH(SUMPRODUCT(($A$9:$A$38&lt;&gt;"")*($F$9:$F$38&lt;=C241))+1,$G$9:$G$38,0)))</f>
        <v/>
      </c>
      <c r="E241" s="40">
        <f>IF(C241&gt;=TotalStations,"",INDEX($C$9:$C$38,MATCH(SUMPRODUCT(($A$9:$A$38&lt;&gt;"")*($F$9:$F$38&lt;=C241))+1,$G$9:$G$38,0)))</f>
        <v/>
      </c>
      <c r="F241" s="40">
        <f>IF(C241&gt;=TotalStations,0,IF(OR(B241="Dédié",$B$3="Plein temps (7h)"),MIN(FLOOR(420/E241,1),TotalStations-C241),MIN(VALUE($B$3),TotalStations-C241)))</f>
        <v/>
      </c>
      <c r="G241" s="38" t="n"/>
      <c r="H241" s="40">
        <f>IF(G241="","",G241-F241)</f>
        <v/>
      </c>
      <c r="I241" s="40">
        <f>SUM($H$48:H241)</f>
        <v/>
      </c>
      <c r="J241" s="40">
        <f>C241+F241</f>
        <v/>
      </c>
    </row>
    <row r="242" hidden="1" outlineLevel="1" ht="15" customHeight="1" s="18">
      <c r="A242" s="44" t="n">
        <v>46535</v>
      </c>
      <c r="B242" s="45" t="inlineStr">
        <is>
          <t>Normal</t>
        </is>
      </c>
      <c r="C242" s="40">
        <f>C241+IF(G241="",F241,G241)</f>
        <v/>
      </c>
      <c r="D242" s="40">
        <f>IF(C242&gt;=TotalStations,"Terminé",INDEX($A$9:$A$38,MATCH(SUMPRODUCT(($A$9:$A$38&lt;&gt;"")*($F$9:$F$38&lt;=C242))+1,$G$9:$G$38,0)))</f>
        <v/>
      </c>
      <c r="E242" s="40">
        <f>IF(C242&gt;=TotalStations,"",INDEX($C$9:$C$38,MATCH(SUMPRODUCT(($A$9:$A$38&lt;&gt;"")*($F$9:$F$38&lt;=C242))+1,$G$9:$G$38,0)))</f>
        <v/>
      </c>
      <c r="F242" s="40">
        <f>IF(C242&gt;=TotalStations,0,IF(OR(B242="Dédié",$B$3="Plein temps (7h)"),MIN(FLOOR(420/E242,1),TotalStations-C242),MIN(VALUE($B$3),TotalStations-C242)))</f>
        <v/>
      </c>
      <c r="G242" s="38" t="n"/>
      <c r="H242" s="40">
        <f>IF(G242="","",G242-F242)</f>
        <v/>
      </c>
      <c r="I242" s="40">
        <f>SUM($H$48:H242)</f>
        <v/>
      </c>
      <c r="J242" s="40">
        <f>C242+F242</f>
        <v/>
      </c>
    </row>
    <row r="243" hidden="1" outlineLevel="1" ht="15" customHeight="1" s="18">
      <c r="A243" s="44" t="n">
        <v>46538</v>
      </c>
      <c r="B243" s="45" t="inlineStr">
        <is>
          <t>Normal</t>
        </is>
      </c>
      <c r="C243" s="40">
        <f>C242+IF(G242="",F242,G242)</f>
        <v/>
      </c>
      <c r="D243" s="40">
        <f>IF(C243&gt;=TotalStations,"Terminé",INDEX($A$9:$A$38,MATCH(SUMPRODUCT(($A$9:$A$38&lt;&gt;"")*($F$9:$F$38&lt;=C243))+1,$G$9:$G$38,0)))</f>
        <v/>
      </c>
      <c r="E243" s="40">
        <f>IF(C243&gt;=TotalStations,"",INDEX($C$9:$C$38,MATCH(SUMPRODUCT(($A$9:$A$38&lt;&gt;"")*($F$9:$F$38&lt;=C243))+1,$G$9:$G$38,0)))</f>
        <v/>
      </c>
      <c r="F243" s="40">
        <f>IF(C243&gt;=TotalStations,0,IF(OR(B243="Dédié",$B$3="Plein temps (7h)"),MIN(FLOOR(420/E243,1),TotalStations-C243),MIN(VALUE($B$3),TotalStations-C243)))</f>
        <v/>
      </c>
      <c r="G243" s="38" t="n"/>
      <c r="H243" s="40">
        <f>IF(G243="","",G243-F243)</f>
        <v/>
      </c>
      <c r="I243" s="40">
        <f>SUM($H$48:H243)</f>
        <v/>
      </c>
      <c r="J243" s="40">
        <f>C243+F243</f>
        <v/>
      </c>
    </row>
    <row r="244" hidden="1" outlineLevel="1" ht="15" customHeight="1" s="18">
      <c r="A244" s="44" t="n">
        <v>46539</v>
      </c>
      <c r="B244" s="45" t="inlineStr">
        <is>
          <t>Normal</t>
        </is>
      </c>
      <c r="C244" s="40">
        <f>C243+IF(G243="",F243,G243)</f>
        <v/>
      </c>
      <c r="D244" s="40">
        <f>IF(C244&gt;=TotalStations,"Terminé",INDEX($A$9:$A$38,MATCH(SUMPRODUCT(($A$9:$A$38&lt;&gt;"")*($F$9:$F$38&lt;=C244))+1,$G$9:$G$38,0)))</f>
        <v/>
      </c>
      <c r="E244" s="40">
        <f>IF(C244&gt;=TotalStations,"",INDEX($C$9:$C$38,MATCH(SUMPRODUCT(($A$9:$A$38&lt;&gt;"")*($F$9:$F$38&lt;=C244))+1,$G$9:$G$38,0)))</f>
        <v/>
      </c>
      <c r="F244" s="40">
        <f>IF(C244&gt;=TotalStations,0,IF(OR(B244="Dédié",$B$3="Plein temps (7h)"),MIN(FLOOR(420/E244,1),TotalStations-C244),MIN(VALUE($B$3),TotalStations-C244)))</f>
        <v/>
      </c>
      <c r="G244" s="38" t="n"/>
      <c r="H244" s="40">
        <f>IF(G244="","",G244-F244)</f>
        <v/>
      </c>
      <c r="I244" s="40">
        <f>SUM($H$48:H244)</f>
        <v/>
      </c>
      <c r="J244" s="40">
        <f>C244+F244</f>
        <v/>
      </c>
    </row>
    <row r="245" hidden="1" outlineLevel="1" ht="15" customHeight="1" s="18">
      <c r="A245" s="44" t="n">
        <v>46540</v>
      </c>
      <c r="B245" s="45" t="inlineStr">
        <is>
          <t>Normal</t>
        </is>
      </c>
      <c r="C245" s="40">
        <f>C244+IF(G244="",F244,G244)</f>
        <v/>
      </c>
      <c r="D245" s="40">
        <f>IF(C245&gt;=TotalStations,"Terminé",INDEX($A$9:$A$38,MATCH(SUMPRODUCT(($A$9:$A$38&lt;&gt;"")*($F$9:$F$38&lt;=C245))+1,$G$9:$G$38,0)))</f>
        <v/>
      </c>
      <c r="E245" s="40">
        <f>IF(C245&gt;=TotalStations,"",INDEX($C$9:$C$38,MATCH(SUMPRODUCT(($A$9:$A$38&lt;&gt;"")*($F$9:$F$38&lt;=C245))+1,$G$9:$G$38,0)))</f>
        <v/>
      </c>
      <c r="F245" s="40">
        <f>IF(C245&gt;=TotalStations,0,IF(OR(B245="Dédié",$B$3="Plein temps (7h)"),MIN(FLOOR(420/E245,1),TotalStations-C245),MIN(VALUE($B$3),TotalStations-C245)))</f>
        <v/>
      </c>
      <c r="G245" s="38" t="n"/>
      <c r="H245" s="40">
        <f>IF(G245="","",G245-F245)</f>
        <v/>
      </c>
      <c r="I245" s="40">
        <f>SUM($H$48:H245)</f>
        <v/>
      </c>
      <c r="J245" s="40">
        <f>C245+F245</f>
        <v/>
      </c>
    </row>
    <row r="246" hidden="1" outlineLevel="1" ht="15" customHeight="1" s="18">
      <c r="A246" s="44" t="n">
        <v>46541</v>
      </c>
      <c r="B246" s="45" t="inlineStr">
        <is>
          <t>Normal</t>
        </is>
      </c>
      <c r="C246" s="40">
        <f>C245+IF(G245="",F245,G245)</f>
        <v/>
      </c>
      <c r="D246" s="40">
        <f>IF(C246&gt;=TotalStations,"Terminé",INDEX($A$9:$A$38,MATCH(SUMPRODUCT(($A$9:$A$38&lt;&gt;"")*($F$9:$F$38&lt;=C246))+1,$G$9:$G$38,0)))</f>
        <v/>
      </c>
      <c r="E246" s="40">
        <f>IF(C246&gt;=TotalStations,"",INDEX($C$9:$C$38,MATCH(SUMPRODUCT(($A$9:$A$38&lt;&gt;"")*($F$9:$F$38&lt;=C246))+1,$G$9:$G$38,0)))</f>
        <v/>
      </c>
      <c r="F246" s="40">
        <f>IF(C246&gt;=TotalStations,0,IF(OR(B246="Dédié",$B$3="Plein temps (7h)"),MIN(FLOOR(420/E246,1),TotalStations-C246),MIN(VALUE($B$3),TotalStations-C246)))</f>
        <v/>
      </c>
      <c r="G246" s="38" t="n"/>
      <c r="H246" s="40">
        <f>IF(G246="","",G246-F246)</f>
        <v/>
      </c>
      <c r="I246" s="40">
        <f>SUM($H$48:H246)</f>
        <v/>
      </c>
      <c r="J246" s="40">
        <f>C246+F246</f>
        <v/>
      </c>
    </row>
    <row r="247" hidden="1" outlineLevel="1" ht="15" customHeight="1" s="18">
      <c r="A247" s="44" t="n">
        <v>46542</v>
      </c>
      <c r="B247" s="45" t="inlineStr">
        <is>
          <t>Normal</t>
        </is>
      </c>
      <c r="C247" s="40">
        <f>C246+IF(G246="",F246,G246)</f>
        <v/>
      </c>
      <c r="D247" s="40">
        <f>IF(C247&gt;=TotalStations,"Terminé",INDEX($A$9:$A$38,MATCH(SUMPRODUCT(($A$9:$A$38&lt;&gt;"")*($F$9:$F$38&lt;=C247))+1,$G$9:$G$38,0)))</f>
        <v/>
      </c>
      <c r="E247" s="40">
        <f>IF(C247&gt;=TotalStations,"",INDEX($C$9:$C$38,MATCH(SUMPRODUCT(($A$9:$A$38&lt;&gt;"")*($F$9:$F$38&lt;=C247))+1,$G$9:$G$38,0)))</f>
        <v/>
      </c>
      <c r="F247" s="40">
        <f>IF(C247&gt;=TotalStations,0,IF(OR(B247="Dédié",$B$3="Plein temps (7h)"),MIN(FLOOR(420/E247,1),TotalStations-C247),MIN(VALUE($B$3),TotalStations-C247)))</f>
        <v/>
      </c>
      <c r="G247" s="38" t="n"/>
      <c r="H247" s="40">
        <f>IF(G247="","",G247-F247)</f>
        <v/>
      </c>
      <c r="I247" s="40">
        <f>SUM($H$48:H247)</f>
        <v/>
      </c>
      <c r="J247" s="40">
        <f>C247+F247</f>
        <v/>
      </c>
    </row>
    <row r="248" hidden="1" outlineLevel="1" ht="15" customHeight="1" s="18">
      <c r="A248" s="44" t="n">
        <v>46545</v>
      </c>
      <c r="B248" s="45" t="inlineStr">
        <is>
          <t>Normal</t>
        </is>
      </c>
      <c r="C248" s="40">
        <f>C247+IF(G247="",F247,G247)</f>
        <v/>
      </c>
      <c r="D248" s="40">
        <f>IF(C248&gt;=TotalStations,"Terminé",INDEX($A$9:$A$38,MATCH(SUMPRODUCT(($A$9:$A$38&lt;&gt;"")*($F$9:$F$38&lt;=C248))+1,$G$9:$G$38,0)))</f>
        <v/>
      </c>
      <c r="E248" s="40">
        <f>IF(C248&gt;=TotalStations,"",INDEX($C$9:$C$38,MATCH(SUMPRODUCT(($A$9:$A$38&lt;&gt;"")*($F$9:$F$38&lt;=C248))+1,$G$9:$G$38,0)))</f>
        <v/>
      </c>
      <c r="F248" s="40">
        <f>IF(C248&gt;=TotalStations,0,IF(OR(B248="Dédié",$B$3="Plein temps (7h)"),MIN(FLOOR(420/E248,1),TotalStations-C248),MIN(VALUE($B$3),TotalStations-C248)))</f>
        <v/>
      </c>
      <c r="G248" s="38" t="n"/>
      <c r="H248" s="40">
        <f>IF(G248="","",G248-F248)</f>
        <v/>
      </c>
      <c r="I248" s="40">
        <f>SUM($H$48:H248)</f>
        <v/>
      </c>
      <c r="J248" s="40">
        <f>C248+F248</f>
        <v/>
      </c>
    </row>
    <row r="249" hidden="1" outlineLevel="1" ht="15" customHeight="1" s="18">
      <c r="A249" s="44" t="n">
        <v>46546</v>
      </c>
      <c r="B249" s="45" t="inlineStr">
        <is>
          <t>Normal</t>
        </is>
      </c>
      <c r="C249" s="40">
        <f>C248+IF(G248="",F248,G248)</f>
        <v/>
      </c>
      <c r="D249" s="40">
        <f>IF(C249&gt;=TotalStations,"Terminé",INDEX($A$9:$A$38,MATCH(SUMPRODUCT(($A$9:$A$38&lt;&gt;"")*($F$9:$F$38&lt;=C249))+1,$G$9:$G$38,0)))</f>
        <v/>
      </c>
      <c r="E249" s="40">
        <f>IF(C249&gt;=TotalStations,"",INDEX($C$9:$C$38,MATCH(SUMPRODUCT(($A$9:$A$38&lt;&gt;"")*($F$9:$F$38&lt;=C249))+1,$G$9:$G$38,0)))</f>
        <v/>
      </c>
      <c r="F249" s="40">
        <f>IF(C249&gt;=TotalStations,0,IF(OR(B249="Dédié",$B$3="Plein temps (7h)"),MIN(FLOOR(420/E249,1),TotalStations-C249),MIN(VALUE($B$3),TotalStations-C249)))</f>
        <v/>
      </c>
      <c r="G249" s="38" t="n"/>
      <c r="H249" s="40">
        <f>IF(G249="","",G249-F249)</f>
        <v/>
      </c>
      <c r="I249" s="40">
        <f>SUM($H$48:H249)</f>
        <v/>
      </c>
      <c r="J249" s="40">
        <f>C249+F249</f>
        <v/>
      </c>
    </row>
    <row r="250" hidden="1" outlineLevel="1" ht="15" customHeight="1" s="18">
      <c r="A250" s="44" t="n">
        <v>46547</v>
      </c>
      <c r="B250" s="45" t="inlineStr">
        <is>
          <t>Normal</t>
        </is>
      </c>
      <c r="C250" s="40">
        <f>C249+IF(G249="",F249,G249)</f>
        <v/>
      </c>
      <c r="D250" s="40">
        <f>IF(C250&gt;=TotalStations,"Terminé",INDEX($A$9:$A$38,MATCH(SUMPRODUCT(($A$9:$A$38&lt;&gt;"")*($F$9:$F$38&lt;=C250))+1,$G$9:$G$38,0)))</f>
        <v/>
      </c>
      <c r="E250" s="40">
        <f>IF(C250&gt;=TotalStations,"",INDEX($C$9:$C$38,MATCH(SUMPRODUCT(($A$9:$A$38&lt;&gt;"")*($F$9:$F$38&lt;=C250))+1,$G$9:$G$38,0)))</f>
        <v/>
      </c>
      <c r="F250" s="40">
        <f>IF(C250&gt;=TotalStations,0,IF(OR(B250="Dédié",$B$3="Plein temps (7h)"),MIN(FLOOR(420/E250,1),TotalStations-C250),MIN(VALUE($B$3),TotalStations-C250)))</f>
        <v/>
      </c>
      <c r="G250" s="38" t="n"/>
      <c r="H250" s="40">
        <f>IF(G250="","",G250-F250)</f>
        <v/>
      </c>
      <c r="I250" s="40">
        <f>SUM($H$48:H250)</f>
        <v/>
      </c>
      <c r="J250" s="40">
        <f>C250+F250</f>
        <v/>
      </c>
    </row>
    <row r="251" hidden="1" outlineLevel="1" ht="15" customHeight="1" s="18">
      <c r="A251" s="44" t="n">
        <v>46548</v>
      </c>
      <c r="B251" s="45" t="inlineStr">
        <is>
          <t>Normal</t>
        </is>
      </c>
      <c r="C251" s="40">
        <f>C250+IF(G250="",F250,G250)</f>
        <v/>
      </c>
      <c r="D251" s="40">
        <f>IF(C251&gt;=TotalStations,"Terminé",INDEX($A$9:$A$38,MATCH(SUMPRODUCT(($A$9:$A$38&lt;&gt;"")*($F$9:$F$38&lt;=C251))+1,$G$9:$G$38,0)))</f>
        <v/>
      </c>
      <c r="E251" s="40">
        <f>IF(C251&gt;=TotalStations,"",INDEX($C$9:$C$38,MATCH(SUMPRODUCT(($A$9:$A$38&lt;&gt;"")*($F$9:$F$38&lt;=C251))+1,$G$9:$G$38,0)))</f>
        <v/>
      </c>
      <c r="F251" s="40">
        <f>IF(C251&gt;=TotalStations,0,IF(OR(B251="Dédié",$B$3="Plein temps (7h)"),MIN(FLOOR(420/E251,1),TotalStations-C251),MIN(VALUE($B$3),TotalStations-C251)))</f>
        <v/>
      </c>
      <c r="G251" s="38" t="n"/>
      <c r="H251" s="40">
        <f>IF(G251="","",G251-F251)</f>
        <v/>
      </c>
      <c r="I251" s="40">
        <f>SUM($H$48:H251)</f>
        <v/>
      </c>
      <c r="J251" s="40">
        <f>C251+F251</f>
        <v/>
      </c>
    </row>
    <row r="252" hidden="1" outlineLevel="1" ht="15" customHeight="1" s="18">
      <c r="A252" s="44" t="n">
        <v>46549</v>
      </c>
      <c r="B252" s="45" t="inlineStr">
        <is>
          <t>Normal</t>
        </is>
      </c>
      <c r="C252" s="40">
        <f>C251+IF(G251="",F251,G251)</f>
        <v/>
      </c>
      <c r="D252" s="40">
        <f>IF(C252&gt;=TotalStations,"Terminé",INDEX($A$9:$A$38,MATCH(SUMPRODUCT(($A$9:$A$38&lt;&gt;"")*($F$9:$F$38&lt;=C252))+1,$G$9:$G$38,0)))</f>
        <v/>
      </c>
      <c r="E252" s="40">
        <f>IF(C252&gt;=TotalStations,"",INDEX($C$9:$C$38,MATCH(SUMPRODUCT(($A$9:$A$38&lt;&gt;"")*($F$9:$F$38&lt;=C252))+1,$G$9:$G$38,0)))</f>
        <v/>
      </c>
      <c r="F252" s="40">
        <f>IF(C252&gt;=TotalStations,0,IF(OR(B252="Dédié",$B$3="Plein temps (7h)"),MIN(FLOOR(420/E252,1),TotalStations-C252),MIN(VALUE($B$3),TotalStations-C252)))</f>
        <v/>
      </c>
      <c r="G252" s="38" t="n"/>
      <c r="H252" s="40">
        <f>IF(G252="","",G252-F252)</f>
        <v/>
      </c>
      <c r="I252" s="40">
        <f>SUM($H$48:H252)</f>
        <v/>
      </c>
      <c r="J252" s="40">
        <f>C252+F252</f>
        <v/>
      </c>
    </row>
    <row r="253" hidden="1" outlineLevel="1" ht="15" customHeight="1" s="18">
      <c r="A253" s="44" t="n">
        <v>46552</v>
      </c>
      <c r="B253" s="45" t="inlineStr">
        <is>
          <t>Normal</t>
        </is>
      </c>
      <c r="C253" s="40">
        <f>C252+IF(G252="",F252,G252)</f>
        <v/>
      </c>
      <c r="D253" s="40">
        <f>IF(C253&gt;=TotalStations,"Terminé",INDEX($A$9:$A$38,MATCH(SUMPRODUCT(($A$9:$A$38&lt;&gt;"")*($F$9:$F$38&lt;=C253))+1,$G$9:$G$38,0)))</f>
        <v/>
      </c>
      <c r="E253" s="40">
        <f>IF(C253&gt;=TotalStations,"",INDEX($C$9:$C$38,MATCH(SUMPRODUCT(($A$9:$A$38&lt;&gt;"")*($F$9:$F$38&lt;=C253))+1,$G$9:$G$38,0)))</f>
        <v/>
      </c>
      <c r="F253" s="40">
        <f>IF(C253&gt;=TotalStations,0,IF(OR(B253="Dédié",$B$3="Plein temps (7h)"),MIN(FLOOR(420/E253,1),TotalStations-C253),MIN(VALUE($B$3),TotalStations-C253)))</f>
        <v/>
      </c>
      <c r="G253" s="38" t="n"/>
      <c r="H253" s="40">
        <f>IF(G253="","",G253-F253)</f>
        <v/>
      </c>
      <c r="I253" s="40">
        <f>SUM($H$48:H253)</f>
        <v/>
      </c>
      <c r="J253" s="40">
        <f>C253+F253</f>
        <v/>
      </c>
    </row>
    <row r="254" hidden="1" outlineLevel="1" ht="15" customHeight="1" s="18">
      <c r="A254" s="44" t="n">
        <v>46553</v>
      </c>
      <c r="B254" s="45" t="inlineStr">
        <is>
          <t>Normal</t>
        </is>
      </c>
      <c r="C254" s="40">
        <f>C253+IF(G253="",F253,G253)</f>
        <v/>
      </c>
      <c r="D254" s="40">
        <f>IF(C254&gt;=TotalStations,"Terminé",INDEX($A$9:$A$38,MATCH(SUMPRODUCT(($A$9:$A$38&lt;&gt;"")*($F$9:$F$38&lt;=C254))+1,$G$9:$G$38,0)))</f>
        <v/>
      </c>
      <c r="E254" s="40">
        <f>IF(C254&gt;=TotalStations,"",INDEX($C$9:$C$38,MATCH(SUMPRODUCT(($A$9:$A$38&lt;&gt;"")*($F$9:$F$38&lt;=C254))+1,$G$9:$G$38,0)))</f>
        <v/>
      </c>
      <c r="F254" s="40">
        <f>IF(C254&gt;=TotalStations,0,IF(OR(B254="Dédié",$B$3="Plein temps (7h)"),MIN(FLOOR(420/E254,1),TotalStations-C254),MIN(VALUE($B$3),TotalStations-C254)))</f>
        <v/>
      </c>
      <c r="G254" s="38" t="n"/>
      <c r="H254" s="40">
        <f>IF(G254="","",G254-F254)</f>
        <v/>
      </c>
      <c r="I254" s="40">
        <f>SUM($H$48:H254)</f>
        <v/>
      </c>
      <c r="J254" s="40">
        <f>C254+F254</f>
        <v/>
      </c>
    </row>
    <row r="255" hidden="1" outlineLevel="1" ht="15" customHeight="1" s="18">
      <c r="A255" s="44" t="n">
        <v>46554</v>
      </c>
      <c r="B255" s="45" t="inlineStr">
        <is>
          <t>Normal</t>
        </is>
      </c>
      <c r="C255" s="40">
        <f>C254+IF(G254="",F254,G254)</f>
        <v/>
      </c>
      <c r="D255" s="40">
        <f>IF(C255&gt;=TotalStations,"Terminé",INDEX($A$9:$A$38,MATCH(SUMPRODUCT(($A$9:$A$38&lt;&gt;"")*($F$9:$F$38&lt;=C255))+1,$G$9:$G$38,0)))</f>
        <v/>
      </c>
      <c r="E255" s="40">
        <f>IF(C255&gt;=TotalStations,"",INDEX($C$9:$C$38,MATCH(SUMPRODUCT(($A$9:$A$38&lt;&gt;"")*($F$9:$F$38&lt;=C255))+1,$G$9:$G$38,0)))</f>
        <v/>
      </c>
      <c r="F255" s="40">
        <f>IF(C255&gt;=TotalStations,0,IF(OR(B255="Dédié",$B$3="Plein temps (7h)"),MIN(FLOOR(420/E255,1),TotalStations-C255),MIN(VALUE($B$3),TotalStations-C255)))</f>
        <v/>
      </c>
      <c r="G255" s="38" t="n"/>
      <c r="H255" s="40">
        <f>IF(G255="","",G255-F255)</f>
        <v/>
      </c>
      <c r="I255" s="40">
        <f>SUM($H$48:H255)</f>
        <v/>
      </c>
      <c r="J255" s="40">
        <f>C255+F255</f>
        <v/>
      </c>
    </row>
    <row r="256" hidden="1" outlineLevel="1" ht="15" customHeight="1" s="18">
      <c r="A256" s="44" t="n">
        <v>46555</v>
      </c>
      <c r="B256" s="45" t="inlineStr">
        <is>
          <t>Normal</t>
        </is>
      </c>
      <c r="C256" s="40">
        <f>C255+IF(G255="",F255,G255)</f>
        <v/>
      </c>
      <c r="D256" s="40">
        <f>IF(C256&gt;=TotalStations,"Terminé",INDEX($A$9:$A$38,MATCH(SUMPRODUCT(($A$9:$A$38&lt;&gt;"")*($F$9:$F$38&lt;=C256))+1,$G$9:$G$38,0)))</f>
        <v/>
      </c>
      <c r="E256" s="40">
        <f>IF(C256&gt;=TotalStations,"",INDEX($C$9:$C$38,MATCH(SUMPRODUCT(($A$9:$A$38&lt;&gt;"")*($F$9:$F$38&lt;=C256))+1,$G$9:$G$38,0)))</f>
        <v/>
      </c>
      <c r="F256" s="40">
        <f>IF(C256&gt;=TotalStations,0,IF(OR(B256="Dédié",$B$3="Plein temps (7h)"),MIN(FLOOR(420/E256,1),TotalStations-C256),MIN(VALUE($B$3),TotalStations-C256)))</f>
        <v/>
      </c>
      <c r="G256" s="38" t="n"/>
      <c r="H256" s="40">
        <f>IF(G256="","",G256-F256)</f>
        <v/>
      </c>
      <c r="I256" s="40">
        <f>SUM($H$48:H256)</f>
        <v/>
      </c>
      <c r="J256" s="40">
        <f>C256+F256</f>
        <v/>
      </c>
    </row>
    <row r="257" hidden="1" outlineLevel="1" ht="15" customHeight="1" s="18">
      <c r="A257" s="44" t="n">
        <v>46556</v>
      </c>
      <c r="B257" s="45" t="inlineStr">
        <is>
          <t>Normal</t>
        </is>
      </c>
      <c r="C257" s="40">
        <f>C256+IF(G256="",F256,G256)</f>
        <v/>
      </c>
      <c r="D257" s="40">
        <f>IF(C257&gt;=TotalStations,"Terminé",INDEX($A$9:$A$38,MATCH(SUMPRODUCT(($A$9:$A$38&lt;&gt;"")*($F$9:$F$38&lt;=C257))+1,$G$9:$G$38,0)))</f>
        <v/>
      </c>
      <c r="E257" s="40">
        <f>IF(C257&gt;=TotalStations,"",INDEX($C$9:$C$38,MATCH(SUMPRODUCT(($A$9:$A$38&lt;&gt;"")*($F$9:$F$38&lt;=C257))+1,$G$9:$G$38,0)))</f>
        <v/>
      </c>
      <c r="F257" s="40">
        <f>IF(C257&gt;=TotalStations,0,IF(OR(B257="Dédié",$B$3="Plein temps (7h)"),MIN(FLOOR(420/E257,1),TotalStations-C257),MIN(VALUE($B$3),TotalStations-C257)))</f>
        <v/>
      </c>
      <c r="G257" s="38" t="n"/>
      <c r="H257" s="40">
        <f>IF(G257="","",G257-F257)</f>
        <v/>
      </c>
      <c r="I257" s="40">
        <f>SUM($H$48:H257)</f>
        <v/>
      </c>
      <c r="J257" s="40">
        <f>C257+F257</f>
        <v/>
      </c>
    </row>
    <row r="258" hidden="1" outlineLevel="1" ht="15" customHeight="1" s="18">
      <c r="A258" s="44" t="n">
        <v>46559</v>
      </c>
      <c r="B258" s="45" t="inlineStr">
        <is>
          <t>Normal</t>
        </is>
      </c>
      <c r="C258" s="40">
        <f>C257+IF(G257="",F257,G257)</f>
        <v/>
      </c>
      <c r="D258" s="40">
        <f>IF(C258&gt;=TotalStations,"Terminé",INDEX($A$9:$A$38,MATCH(SUMPRODUCT(($A$9:$A$38&lt;&gt;"")*($F$9:$F$38&lt;=C258))+1,$G$9:$G$38,0)))</f>
        <v/>
      </c>
      <c r="E258" s="40">
        <f>IF(C258&gt;=TotalStations,"",INDEX($C$9:$C$38,MATCH(SUMPRODUCT(($A$9:$A$38&lt;&gt;"")*($F$9:$F$38&lt;=C258))+1,$G$9:$G$38,0)))</f>
        <v/>
      </c>
      <c r="F258" s="40">
        <f>IF(C258&gt;=TotalStations,0,IF(OR(B258="Dédié",$B$3="Plein temps (7h)"),MIN(FLOOR(420/E258,1),TotalStations-C258),MIN(VALUE($B$3),TotalStations-C258)))</f>
        <v/>
      </c>
      <c r="G258" s="38" t="n"/>
      <c r="H258" s="40">
        <f>IF(G258="","",G258-F258)</f>
        <v/>
      </c>
      <c r="I258" s="40">
        <f>SUM($H$48:H258)</f>
        <v/>
      </c>
      <c r="J258" s="40">
        <f>C258+F258</f>
        <v/>
      </c>
    </row>
    <row r="259" hidden="1" outlineLevel="1" ht="15" customHeight="1" s="18">
      <c r="A259" s="44" t="n">
        <v>46560</v>
      </c>
      <c r="B259" s="45" t="inlineStr">
        <is>
          <t>Normal</t>
        </is>
      </c>
      <c r="C259" s="40">
        <f>C258+IF(G258="",F258,G258)</f>
        <v/>
      </c>
      <c r="D259" s="40">
        <f>IF(C259&gt;=TotalStations,"Terminé",INDEX($A$9:$A$38,MATCH(SUMPRODUCT(($A$9:$A$38&lt;&gt;"")*($F$9:$F$38&lt;=C259))+1,$G$9:$G$38,0)))</f>
        <v/>
      </c>
      <c r="E259" s="40">
        <f>IF(C259&gt;=TotalStations,"",INDEX($C$9:$C$38,MATCH(SUMPRODUCT(($A$9:$A$38&lt;&gt;"")*($F$9:$F$38&lt;=C259))+1,$G$9:$G$38,0)))</f>
        <v/>
      </c>
      <c r="F259" s="40">
        <f>IF(C259&gt;=TotalStations,0,IF(OR(B259="Dédié",$B$3="Plein temps (7h)"),MIN(FLOOR(420/E259,1),TotalStations-C259),MIN(VALUE($B$3),TotalStations-C259)))</f>
        <v/>
      </c>
      <c r="G259" s="38" t="n"/>
      <c r="H259" s="40">
        <f>IF(G259="","",G259-F259)</f>
        <v/>
      </c>
      <c r="I259" s="40">
        <f>SUM($H$48:H259)</f>
        <v/>
      </c>
      <c r="J259" s="40">
        <f>C259+F259</f>
        <v/>
      </c>
    </row>
    <row r="260" hidden="1" outlineLevel="1" ht="15" customHeight="1" s="18">
      <c r="A260" s="44" t="n">
        <v>46561</v>
      </c>
      <c r="B260" s="45" t="inlineStr">
        <is>
          <t>Normal</t>
        </is>
      </c>
      <c r="C260" s="40">
        <f>C259+IF(G259="",F259,G259)</f>
        <v/>
      </c>
      <c r="D260" s="40">
        <f>IF(C260&gt;=TotalStations,"Terminé",INDEX($A$9:$A$38,MATCH(SUMPRODUCT(($A$9:$A$38&lt;&gt;"")*($F$9:$F$38&lt;=C260))+1,$G$9:$G$38,0)))</f>
        <v/>
      </c>
      <c r="E260" s="40">
        <f>IF(C260&gt;=TotalStations,"",INDEX($C$9:$C$38,MATCH(SUMPRODUCT(($A$9:$A$38&lt;&gt;"")*($F$9:$F$38&lt;=C260))+1,$G$9:$G$38,0)))</f>
        <v/>
      </c>
      <c r="F260" s="40">
        <f>IF(C260&gt;=TotalStations,0,IF(OR(B260="Dédié",$B$3="Plein temps (7h)"),MIN(FLOOR(420/E260,1),TotalStations-C260),MIN(VALUE($B$3),TotalStations-C260)))</f>
        <v/>
      </c>
      <c r="G260" s="38" t="n"/>
      <c r="H260" s="40">
        <f>IF(G260="","",G260-F260)</f>
        <v/>
      </c>
      <c r="I260" s="40">
        <f>SUM($H$48:H260)</f>
        <v/>
      </c>
      <c r="J260" s="40">
        <f>C260+F260</f>
        <v/>
      </c>
    </row>
    <row r="261" hidden="1" outlineLevel="1" ht="15" customHeight="1" s="18">
      <c r="A261" s="44" t="n">
        <v>46562</v>
      </c>
      <c r="B261" s="45" t="inlineStr">
        <is>
          <t>Normal</t>
        </is>
      </c>
      <c r="C261" s="40">
        <f>C260+IF(G260="",F260,G260)</f>
        <v/>
      </c>
      <c r="D261" s="40">
        <f>IF(C261&gt;=TotalStations,"Terminé",INDEX($A$9:$A$38,MATCH(SUMPRODUCT(($A$9:$A$38&lt;&gt;"")*($F$9:$F$38&lt;=C261))+1,$G$9:$G$38,0)))</f>
        <v/>
      </c>
      <c r="E261" s="40">
        <f>IF(C261&gt;=TotalStations,"",INDEX($C$9:$C$38,MATCH(SUMPRODUCT(($A$9:$A$38&lt;&gt;"")*($F$9:$F$38&lt;=C261))+1,$G$9:$G$38,0)))</f>
        <v/>
      </c>
      <c r="F261" s="40">
        <f>IF(C261&gt;=TotalStations,0,IF(OR(B261="Dédié",$B$3="Plein temps (7h)"),MIN(FLOOR(420/E261,1),TotalStations-C261),MIN(VALUE($B$3),TotalStations-C261)))</f>
        <v/>
      </c>
      <c r="G261" s="38" t="n"/>
      <c r="H261" s="40">
        <f>IF(G261="","",G261-F261)</f>
        <v/>
      </c>
      <c r="I261" s="40">
        <f>SUM($H$48:H261)</f>
        <v/>
      </c>
      <c r="J261" s="40">
        <f>C261+F261</f>
        <v/>
      </c>
    </row>
    <row r="262" hidden="1" outlineLevel="1" ht="15" customHeight="1" s="18">
      <c r="A262" s="44" t="n">
        <v>46563</v>
      </c>
      <c r="B262" s="45" t="inlineStr">
        <is>
          <t>Normal</t>
        </is>
      </c>
      <c r="C262" s="40">
        <f>C261+IF(G261="",F261,G261)</f>
        <v/>
      </c>
      <c r="D262" s="40">
        <f>IF(C262&gt;=TotalStations,"Terminé",INDEX($A$9:$A$38,MATCH(SUMPRODUCT(($A$9:$A$38&lt;&gt;"")*($F$9:$F$38&lt;=C262))+1,$G$9:$G$38,0)))</f>
        <v/>
      </c>
      <c r="E262" s="40">
        <f>IF(C262&gt;=TotalStations,"",INDEX($C$9:$C$38,MATCH(SUMPRODUCT(($A$9:$A$38&lt;&gt;"")*($F$9:$F$38&lt;=C262))+1,$G$9:$G$38,0)))</f>
        <v/>
      </c>
      <c r="F262" s="40">
        <f>IF(C262&gt;=TotalStations,0,IF(OR(B262="Dédié",$B$3="Plein temps (7h)"),MIN(FLOOR(420/E262,1),TotalStations-C262),MIN(VALUE($B$3),TotalStations-C262)))</f>
        <v/>
      </c>
      <c r="G262" s="38" t="n"/>
      <c r="H262" s="40">
        <f>IF(G262="","",G262-F262)</f>
        <v/>
      </c>
      <c r="I262" s="40">
        <f>SUM($H$48:H262)</f>
        <v/>
      </c>
      <c r="J262" s="40">
        <f>C262+F262</f>
        <v/>
      </c>
    </row>
    <row r="263" hidden="1" outlineLevel="1" ht="15" customHeight="1" s="18">
      <c r="A263" s="44" t="n">
        <v>46566</v>
      </c>
      <c r="B263" s="45" t="inlineStr">
        <is>
          <t>Normal</t>
        </is>
      </c>
      <c r="C263" s="40">
        <f>C262+IF(G262="",F262,G262)</f>
        <v/>
      </c>
      <c r="D263" s="40">
        <f>IF(C263&gt;=TotalStations,"Terminé",INDEX($A$9:$A$38,MATCH(SUMPRODUCT(($A$9:$A$38&lt;&gt;"")*($F$9:$F$38&lt;=C263))+1,$G$9:$G$38,0)))</f>
        <v/>
      </c>
      <c r="E263" s="40">
        <f>IF(C263&gt;=TotalStations,"",INDEX($C$9:$C$38,MATCH(SUMPRODUCT(($A$9:$A$38&lt;&gt;"")*($F$9:$F$38&lt;=C263))+1,$G$9:$G$38,0)))</f>
        <v/>
      </c>
      <c r="F263" s="40">
        <f>IF(C263&gt;=TotalStations,0,IF(OR(B263="Dédié",$B$3="Plein temps (7h)"),MIN(FLOOR(420/E263,1),TotalStations-C263),MIN(VALUE($B$3),TotalStations-C263)))</f>
        <v/>
      </c>
      <c r="G263" s="38" t="n"/>
      <c r="H263" s="40">
        <f>IF(G263="","",G263-F263)</f>
        <v/>
      </c>
      <c r="I263" s="40">
        <f>SUM($H$48:H263)</f>
        <v/>
      </c>
      <c r="J263" s="40">
        <f>C263+F263</f>
        <v/>
      </c>
    </row>
    <row r="264" hidden="1" outlineLevel="1" ht="15" customHeight="1" s="18">
      <c r="A264" s="44" t="n">
        <v>46567</v>
      </c>
      <c r="B264" s="45" t="inlineStr">
        <is>
          <t>Normal</t>
        </is>
      </c>
      <c r="C264" s="40">
        <f>C263+IF(G263="",F263,G263)</f>
        <v/>
      </c>
      <c r="D264" s="40">
        <f>IF(C264&gt;=TotalStations,"Terminé",INDEX($A$9:$A$38,MATCH(SUMPRODUCT(($A$9:$A$38&lt;&gt;"")*($F$9:$F$38&lt;=C264))+1,$G$9:$G$38,0)))</f>
        <v/>
      </c>
      <c r="E264" s="40">
        <f>IF(C264&gt;=TotalStations,"",INDEX($C$9:$C$38,MATCH(SUMPRODUCT(($A$9:$A$38&lt;&gt;"")*($F$9:$F$38&lt;=C264))+1,$G$9:$G$38,0)))</f>
        <v/>
      </c>
      <c r="F264" s="40">
        <f>IF(C264&gt;=TotalStations,0,IF(OR(B264="Dédié",$B$3="Plein temps (7h)"),MIN(FLOOR(420/E264,1),TotalStations-C264),MIN(VALUE($B$3),TotalStations-C264)))</f>
        <v/>
      </c>
      <c r="G264" s="38" t="n"/>
      <c r="H264" s="40">
        <f>IF(G264="","",G264-F264)</f>
        <v/>
      </c>
      <c r="I264" s="40">
        <f>SUM($H$48:H264)</f>
        <v/>
      </c>
      <c r="J264" s="40">
        <f>C264+F264</f>
        <v/>
      </c>
    </row>
    <row r="265" hidden="1" outlineLevel="1" ht="15" customHeight="1" s="18">
      <c r="A265" s="44" t="n">
        <v>46568</v>
      </c>
      <c r="B265" s="45" t="inlineStr">
        <is>
          <t>Normal</t>
        </is>
      </c>
      <c r="C265" s="40">
        <f>C264+IF(G264="",F264,G264)</f>
        <v/>
      </c>
      <c r="D265" s="40">
        <f>IF(C265&gt;=TotalStations,"Terminé",INDEX($A$9:$A$38,MATCH(SUMPRODUCT(($A$9:$A$38&lt;&gt;"")*($F$9:$F$38&lt;=C265))+1,$G$9:$G$38,0)))</f>
        <v/>
      </c>
      <c r="E265" s="40">
        <f>IF(C265&gt;=TotalStations,"",INDEX($C$9:$C$38,MATCH(SUMPRODUCT(($A$9:$A$38&lt;&gt;"")*($F$9:$F$38&lt;=C265))+1,$G$9:$G$38,0)))</f>
        <v/>
      </c>
      <c r="F265" s="40">
        <f>IF(C265&gt;=TotalStations,0,IF(OR(B265="Dédié",$B$3="Plein temps (7h)"),MIN(FLOOR(420/E265,1),TotalStations-C265),MIN(VALUE($B$3),TotalStations-C265)))</f>
        <v/>
      </c>
      <c r="G265" s="38" t="n"/>
      <c r="H265" s="40">
        <f>IF(G265="","",G265-F265)</f>
        <v/>
      </c>
      <c r="I265" s="40">
        <f>SUM($H$48:H265)</f>
        <v/>
      </c>
      <c r="J265" s="40">
        <f>C265+F265</f>
        <v/>
      </c>
    </row>
    <row r="266" hidden="1" outlineLevel="1" ht="15" customHeight="1" s="18">
      <c r="A266" s="44" t="n">
        <v>46569</v>
      </c>
      <c r="B266" s="45" t="inlineStr">
        <is>
          <t>Normal</t>
        </is>
      </c>
      <c r="C266" s="40">
        <f>C265+IF(G265="",F265,G265)</f>
        <v/>
      </c>
      <c r="D266" s="40">
        <f>IF(C266&gt;=TotalStations,"Terminé",INDEX($A$9:$A$38,MATCH(SUMPRODUCT(($A$9:$A$38&lt;&gt;"")*($F$9:$F$38&lt;=C266))+1,$G$9:$G$38,0)))</f>
        <v/>
      </c>
      <c r="E266" s="40">
        <f>IF(C266&gt;=TotalStations,"",INDEX($C$9:$C$38,MATCH(SUMPRODUCT(($A$9:$A$38&lt;&gt;"")*($F$9:$F$38&lt;=C266))+1,$G$9:$G$38,0)))</f>
        <v/>
      </c>
      <c r="F266" s="40">
        <f>IF(C266&gt;=TotalStations,0,IF(OR(B266="Dédié",$B$3="Plein temps (7h)"),MIN(FLOOR(420/E266,1),TotalStations-C266),MIN(VALUE($B$3),TotalStations-C266)))</f>
        <v/>
      </c>
      <c r="G266" s="38" t="n"/>
      <c r="H266" s="40">
        <f>IF(G266="","",G266-F266)</f>
        <v/>
      </c>
      <c r="I266" s="40">
        <f>SUM($H$48:H266)</f>
        <v/>
      </c>
      <c r="J266" s="40">
        <f>C266+F266</f>
        <v/>
      </c>
    </row>
    <row r="267" hidden="1" outlineLevel="1" ht="15" customHeight="1" s="18">
      <c r="A267" s="44" t="n">
        <v>46570</v>
      </c>
      <c r="B267" s="45" t="inlineStr">
        <is>
          <t>Normal</t>
        </is>
      </c>
      <c r="C267" s="40">
        <f>C266+IF(G266="",F266,G266)</f>
        <v/>
      </c>
      <c r="D267" s="40">
        <f>IF(C267&gt;=TotalStations,"Terminé",INDEX($A$9:$A$38,MATCH(SUMPRODUCT(($A$9:$A$38&lt;&gt;"")*($F$9:$F$38&lt;=C267))+1,$G$9:$G$38,0)))</f>
        <v/>
      </c>
      <c r="E267" s="40">
        <f>IF(C267&gt;=TotalStations,"",INDEX($C$9:$C$38,MATCH(SUMPRODUCT(($A$9:$A$38&lt;&gt;"")*($F$9:$F$38&lt;=C267))+1,$G$9:$G$38,0)))</f>
        <v/>
      </c>
      <c r="F267" s="40">
        <f>IF(C267&gt;=TotalStations,0,IF(OR(B267="Dédié",$B$3="Plein temps (7h)"),MIN(FLOOR(420/E267,1),TotalStations-C267),MIN(VALUE($B$3),TotalStations-C267)))</f>
        <v/>
      </c>
      <c r="G267" s="38" t="n"/>
      <c r="H267" s="40">
        <f>IF(G267="","",G267-F267)</f>
        <v/>
      </c>
      <c r="I267" s="40">
        <f>SUM($H$48:H267)</f>
        <v/>
      </c>
      <c r="J267" s="40">
        <f>C267+F267</f>
        <v/>
      </c>
    </row>
  </sheetData>
  <mergeCells count="9">
    <mergeCell ref="C4:J4"/>
    <mergeCell ref="A44:J44"/>
    <mergeCell ref="A1:J1"/>
    <mergeCell ref="C3:J3"/>
    <mergeCell ref="A45:J45"/>
    <mergeCell ref="A43:J43"/>
    <mergeCell ref="C5:J5"/>
    <mergeCell ref="A42:J42"/>
    <mergeCell ref="A41:J41"/>
  </mergeCells>
  <conditionalFormatting sqref="J48:J267">
    <cfRule type="cellIs" priority="1" operator="greaterThanOrEqual" dxfId="2">
      <formula>TotalStations</formula>
    </cfRule>
  </conditionalFormatting>
  <dataValidations count="2">
    <dataValidation sqref="B3" showDropDown="0" showInputMessage="0" showErrorMessage="0" allowBlank="0" type="list">
      <formula1>"1,2,Plein temps (7h)"</formula1>
    </dataValidation>
    <dataValidation sqref="B48:B267" showDropDown="0" showInputMessage="0" showErrorMessage="0" allowBlank="0" type="list">
      <formula1>"Normal,Dédié"</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2026-08-30T14:52:46Z</dcterms:created>
  <dcterms:modified xsi:type="dcterms:W3CDTF">2026-08-31T00:40:05Z</dcterms:modified>
  <cp:revision>0</cp:revision>
</cp:coreProperties>
</file>